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2020\atividadesexcel\"/>
    </mc:Choice>
  </mc:AlternateContent>
  <xr:revisionPtr revIDLastSave="0" documentId="8_{485092BC-796B-421F-A329-52809ED6E471}" xr6:coauthVersionLast="45" xr6:coauthVersionMax="45" xr10:uidLastSave="{00000000-0000-0000-0000-000000000000}"/>
  <bookViews>
    <workbookView xWindow="-120" yWindow="-120" windowWidth="19440" windowHeight="11160" xr2:uid="{B16DE6C8-661E-4957-B04B-CF67546F005C}"/>
  </bookViews>
  <sheets>
    <sheet name="início" sheetId="1" r:id="rId1"/>
    <sheet name="form.vendas" sheetId="2" r:id="rId2"/>
    <sheet name="LANÇAMENTOS" sheetId="7" r:id="rId3"/>
    <sheet name="form. compra" sheetId="3" r:id="rId4"/>
    <sheet name="relatórios" sheetId="4" r:id="rId5"/>
    <sheet name="produtos" sheetId="5" r:id="rId6"/>
    <sheet name="vendedores" sheetId="6" r:id="rId7"/>
  </sheets>
  <definedNames>
    <definedName name="CARROS_CÓDIGO">produtos!$D$5:$D$9</definedName>
    <definedName name="CARROS_TABELA">produtos!$D$4:$F$9</definedName>
    <definedName name="VENDEDORES_MATRÍCULA">vendedores!$D$5:$D$7</definedName>
    <definedName name="VENDEDORES_TABELA">vendedores!$D$4:$E$7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5" i="2" l="1"/>
  <c r="D9" i="2" l="1"/>
  <c r="G23" i="2" s="1"/>
  <c r="D15" i="2"/>
  <c r="J23" i="2" s="1"/>
  <c r="D13" i="2"/>
  <c r="I23" i="2" s="1"/>
  <c r="K23" i="2"/>
  <c r="H23" i="2"/>
  <c r="F23" i="2"/>
  <c r="C23" i="2"/>
  <c r="D23" i="2" l="1"/>
  <c r="E23" i="2"/>
</calcChain>
</file>

<file path=xl/sharedStrings.xml><?xml version="1.0" encoding="utf-8"?>
<sst xmlns="http://schemas.openxmlformats.org/spreadsheetml/2006/main" count="237" uniqueCount="30">
  <si>
    <t>CHEVROLET ONIX</t>
  </si>
  <si>
    <t>AUDI A3</t>
  </si>
  <si>
    <t>FIAT CRONOS</t>
  </si>
  <si>
    <t>FORD KA</t>
  </si>
  <si>
    <t>HONDA CIVIC</t>
  </si>
  <si>
    <t>CÓDIDO</t>
  </si>
  <si>
    <t>CARRO</t>
  </si>
  <si>
    <t>VALOR</t>
  </si>
  <si>
    <t>MATRIC.</t>
  </si>
  <si>
    <t>NOME</t>
  </si>
  <si>
    <t>PAULA LINS</t>
  </si>
  <si>
    <t>JOÃO PAULO</t>
  </si>
  <si>
    <t>EUGÊNIO MÁRCIO</t>
  </si>
  <si>
    <t>DATA</t>
  </si>
  <si>
    <t>MAT. VENDEDOR</t>
  </si>
  <si>
    <t>VENDEDOR</t>
  </si>
  <si>
    <t>CÓDIGO CARRO</t>
  </si>
  <si>
    <t>QUANTIDADE</t>
  </si>
  <si>
    <t>LISTA</t>
  </si>
  <si>
    <t>PROCV</t>
  </si>
  <si>
    <t>MANUAL</t>
  </si>
  <si>
    <t>MÊS</t>
  </si>
  <si>
    <t>ANO</t>
  </si>
  <si>
    <t>MAT. VEND.</t>
  </si>
  <si>
    <t>CÓDIGO</t>
  </si>
  <si>
    <t>PRODUTO</t>
  </si>
  <si>
    <t>QUANTD</t>
  </si>
  <si>
    <t>TIPO</t>
  </si>
  <si>
    <t>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</si>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</sst>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4" borderId="0" applyNumberFormat="0" applyBorder="0" applyAlignment="0" applyProtection="0"/>
  </cellStyleXfs>
  <cellXfs count="19">
    <xf numFmtId="0" fontId="0" fillId="0" borderId="0" xfId="0"/>
    <xf numFmtId="0" fontId="0" fillId="2" borderId="0" xfId="0" applyFill="1"/>
    <xf numFmtId="0" fontId="0" fillId="3" borderId="0" xfId="0" applyFill="1"/>
    <xf numFmtId="0" fontId="3" fillId="4" borderId="0" xfId="1" applyAlignment="1">
      <alignment horizontal="center" vertical="center"/>
    </xf>
    <xf numFmtId="0" fontId="0" fillId="0" borderId="1" xfId="0" applyFill="1" applyBorder="1"/>
    <xf numFmtId="164" fontId="0" fillId="0" borderId="1" xfId="0" applyNumberFormat="1" applyFill="1" applyBorder="1" applyAlignment="1">
      <alignment horizontal="center"/>
    </xf>
    <xf numFmtId="0" fontId="1" fillId="4" borderId="0" xfId="1" applyFont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right" vertical="center" indent="1"/>
    </xf>
    <xf numFmtId="14" fontId="0" fillId="0" borderId="1" xfId="0" applyNumberFormat="1" applyFill="1" applyBorder="1" applyAlignment="1">
      <alignment horizontal="center"/>
    </xf>
    <xf numFmtId="0" fontId="0" fillId="2" borderId="0" xfId="0" quotePrefix="1" applyFill="1"/>
    <xf numFmtId="14" fontId="0" fillId="0" borderId="0" xfId="0" applyNumberForma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4" fillId="5" borderId="0" xfId="0" applyFont="1" applyFill="1" applyAlignment="1" applyProtection="1">
      <alignment horizontal="center" vertical="center"/>
    </xf>
    <xf numFmtId="164" fontId="4" fillId="5" borderId="0" xfId="0" applyNumberFormat="1" applyFont="1" applyFill="1" applyAlignment="1" applyProtection="1">
      <alignment horizontal="center" vertical="center"/>
    </xf>
  </cellXfs>
  <cellStyles count="2">
    <cellStyle name="Ênfase3" xfId="1" builtinId="3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form. compra'!D5"/><Relationship Id="rId7" Type="http://schemas.openxmlformats.org/officeDocument/2006/relationships/image" Target="../media/image2.png"/><Relationship Id="rId2" Type="http://schemas.openxmlformats.org/officeDocument/2006/relationships/hyperlink" Target="#form.vendas!D5"/><Relationship Id="rId1" Type="http://schemas.openxmlformats.org/officeDocument/2006/relationships/image" Target="../media/image1.png"/><Relationship Id="rId6" Type="http://schemas.openxmlformats.org/officeDocument/2006/relationships/hyperlink" Target="#vendedores!D5"/><Relationship Id="rId5" Type="http://schemas.openxmlformats.org/officeDocument/2006/relationships/hyperlink" Target="#produtos!D5"/><Relationship Id="rId4" Type="http://schemas.openxmlformats.org/officeDocument/2006/relationships/hyperlink" Target="#relat&#243;rios!D5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'form. compra'!D5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#in&#237;cio!D5"/><Relationship Id="rId6" Type="http://schemas.openxmlformats.org/officeDocument/2006/relationships/hyperlink" Target="#vendedores!D5"/><Relationship Id="rId5" Type="http://schemas.openxmlformats.org/officeDocument/2006/relationships/hyperlink" Target="#produtos!D5"/><Relationship Id="rId4" Type="http://schemas.openxmlformats.org/officeDocument/2006/relationships/hyperlink" Target="#relat&#243;rios!D5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form.vendas!D5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in&#237;cio!D5"/><Relationship Id="rId6" Type="http://schemas.openxmlformats.org/officeDocument/2006/relationships/hyperlink" Target="#vendedores!D5"/><Relationship Id="rId5" Type="http://schemas.openxmlformats.org/officeDocument/2006/relationships/hyperlink" Target="#produtos!D5"/><Relationship Id="rId4" Type="http://schemas.openxmlformats.org/officeDocument/2006/relationships/hyperlink" Target="#relat&#243;rios!D5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form.vendas!D5"/><Relationship Id="rId7" Type="http://schemas.openxmlformats.org/officeDocument/2006/relationships/image" Target="../media/image7.png"/><Relationship Id="rId2" Type="http://schemas.openxmlformats.org/officeDocument/2006/relationships/image" Target="../media/image1.png"/><Relationship Id="rId1" Type="http://schemas.openxmlformats.org/officeDocument/2006/relationships/hyperlink" Target="#in&#237;cio!D5"/><Relationship Id="rId6" Type="http://schemas.openxmlformats.org/officeDocument/2006/relationships/hyperlink" Target="#vendedores!D5"/><Relationship Id="rId5" Type="http://schemas.openxmlformats.org/officeDocument/2006/relationships/hyperlink" Target="#produtos!D5"/><Relationship Id="rId4" Type="http://schemas.openxmlformats.org/officeDocument/2006/relationships/hyperlink" Target="#'form. compra'!D5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form.vendas!D5"/><Relationship Id="rId7" Type="http://schemas.openxmlformats.org/officeDocument/2006/relationships/image" Target="../media/image8.png"/><Relationship Id="rId2" Type="http://schemas.openxmlformats.org/officeDocument/2006/relationships/image" Target="../media/image1.png"/><Relationship Id="rId1" Type="http://schemas.openxmlformats.org/officeDocument/2006/relationships/hyperlink" Target="#in&#237;cio!D5"/><Relationship Id="rId6" Type="http://schemas.openxmlformats.org/officeDocument/2006/relationships/hyperlink" Target="#vendedores!D5"/><Relationship Id="rId5" Type="http://schemas.openxmlformats.org/officeDocument/2006/relationships/hyperlink" Target="#relat&#243;rios!D5"/><Relationship Id="rId4" Type="http://schemas.openxmlformats.org/officeDocument/2006/relationships/hyperlink" Target="#'form. compra'!D5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form.vendas!D5"/><Relationship Id="rId7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#in&#237;cio!D5"/><Relationship Id="rId6" Type="http://schemas.openxmlformats.org/officeDocument/2006/relationships/hyperlink" Target="#produtos!D5"/><Relationship Id="rId5" Type="http://schemas.openxmlformats.org/officeDocument/2006/relationships/hyperlink" Target="#relat&#243;rios!D5"/><Relationship Id="rId4" Type="http://schemas.openxmlformats.org/officeDocument/2006/relationships/hyperlink" Target="#'form. compra'!D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109036</xdr:colOff>
      <xdr:row>7</xdr:row>
      <xdr:rowOff>169360</xdr:rowOff>
    </xdr:from>
    <xdr:to>
      <xdr:col>0</xdr:col>
      <xdr:colOff>1884971</xdr:colOff>
      <xdr:row>10</xdr:row>
      <xdr:rowOff>82295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CE177A5-B457-4A4A-8D75-054A40A0C26C}"/>
            </a:ext>
          </a:extLst>
        </xdr:cNvPr>
        <xdr:cNvSpPr/>
      </xdr:nvSpPr>
      <xdr:spPr>
        <a:xfrm>
          <a:off x="109036" y="2417260"/>
          <a:ext cx="177593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VENDAS</a:t>
          </a:r>
        </a:p>
      </xdr:txBody>
    </xdr:sp>
    <xdr:clientData/>
  </xdr:twoCellAnchor>
  <xdr:twoCellAnchor editAs="absolute">
    <xdr:from>
      <xdr:col>1</xdr:col>
      <xdr:colOff>0</xdr:colOff>
      <xdr:row>0</xdr:row>
      <xdr:rowOff>219075</xdr:rowOff>
    </xdr:from>
    <xdr:to>
      <xdr:col>3</xdr:col>
      <xdr:colOff>220800</xdr:colOff>
      <xdr:row>0</xdr:row>
      <xdr:rowOff>759075</xdr:rowOff>
    </xdr:to>
    <xdr:sp macro="" textlink="">
      <xdr:nvSpPr>
        <xdr:cNvPr id="3" name="Retângulo: Cantos Superiores Arredondados 2">
          <a:extLst>
            <a:ext uri="{FF2B5EF4-FFF2-40B4-BE49-F238E27FC236}">
              <a16:creationId xmlns:a16="http://schemas.microsoft.com/office/drawing/2014/main" id="{8BD9AAC1-E713-4B13-8A7F-AA54F9F2069D}"/>
            </a:ext>
          </a:extLst>
        </xdr:cNvPr>
        <xdr:cNvSpPr/>
      </xdr:nvSpPr>
      <xdr:spPr>
        <a:xfrm>
          <a:off x="2047875" y="219075"/>
          <a:ext cx="1440000" cy="540000"/>
        </a:xfrm>
        <a:prstGeom prst="round2Same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INÍCIO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0</xdr:colOff>
      <xdr:row>6</xdr:row>
      <xdr:rowOff>180736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3F9DC3C-6BDC-4536-8021-314CF27E6E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7875" cy="2180986"/>
        </a:xfrm>
        <a:prstGeom prst="rect">
          <a:avLst/>
        </a:prstGeom>
      </xdr:spPr>
    </xdr:pic>
    <xdr:clientData/>
  </xdr:twoCellAnchor>
  <xdr:twoCellAnchor editAs="absolute">
    <xdr:from>
      <xdr:col>3</xdr:col>
      <xdr:colOff>295275</xdr:colOff>
      <xdr:row>0</xdr:row>
      <xdr:rowOff>219075</xdr:rowOff>
    </xdr:from>
    <xdr:to>
      <xdr:col>5</xdr:col>
      <xdr:colOff>516075</xdr:colOff>
      <xdr:row>0</xdr:row>
      <xdr:rowOff>759075</xdr:rowOff>
    </xdr:to>
    <xdr:sp macro="" textlink="">
      <xdr:nvSpPr>
        <xdr:cNvPr id="6" name="Retângulo: Cantos Superiore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5D11714-629E-44F0-AFAD-BA2E1F1C4B89}"/>
            </a:ext>
          </a:extLst>
        </xdr:cNvPr>
        <xdr:cNvSpPr/>
      </xdr:nvSpPr>
      <xdr:spPr>
        <a:xfrm>
          <a:off x="3562350" y="219075"/>
          <a:ext cx="1440000" cy="540000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FORM. VENDA</a:t>
          </a:r>
        </a:p>
      </xdr:txBody>
    </xdr:sp>
    <xdr:clientData/>
  </xdr:twoCellAnchor>
  <xdr:twoCellAnchor editAs="absolute">
    <xdr:from>
      <xdr:col>5</xdr:col>
      <xdr:colOff>590550</xdr:colOff>
      <xdr:row>0</xdr:row>
      <xdr:rowOff>219075</xdr:rowOff>
    </xdr:from>
    <xdr:to>
      <xdr:col>8</xdr:col>
      <xdr:colOff>201750</xdr:colOff>
      <xdr:row>0</xdr:row>
      <xdr:rowOff>759075</xdr:rowOff>
    </xdr:to>
    <xdr:sp macro="" textlink="">
      <xdr:nvSpPr>
        <xdr:cNvPr id="7" name="Retângulo: Cantos Superiore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22B4297-978B-4FCB-AC5C-6FDC1316AFD3}"/>
            </a:ext>
          </a:extLst>
        </xdr:cNvPr>
        <xdr:cNvSpPr/>
      </xdr:nvSpPr>
      <xdr:spPr>
        <a:xfrm>
          <a:off x="5076825" y="219075"/>
          <a:ext cx="1440000" cy="540000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FORM. COMPRA</a:t>
          </a:r>
        </a:p>
      </xdr:txBody>
    </xdr:sp>
    <xdr:clientData/>
  </xdr:twoCellAnchor>
  <xdr:twoCellAnchor editAs="absolute">
    <xdr:from>
      <xdr:col>8</xdr:col>
      <xdr:colOff>276225</xdr:colOff>
      <xdr:row>0</xdr:row>
      <xdr:rowOff>219075</xdr:rowOff>
    </xdr:from>
    <xdr:to>
      <xdr:col>10</xdr:col>
      <xdr:colOff>497025</xdr:colOff>
      <xdr:row>0</xdr:row>
      <xdr:rowOff>759075</xdr:rowOff>
    </xdr:to>
    <xdr:sp macro="" textlink="">
      <xdr:nvSpPr>
        <xdr:cNvPr id="8" name="Retângulo: Cantos Superiores Arredondados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2B87CF2-2EFE-4C08-9286-3AD520A33CE8}"/>
            </a:ext>
          </a:extLst>
        </xdr:cNvPr>
        <xdr:cNvSpPr/>
      </xdr:nvSpPr>
      <xdr:spPr>
        <a:xfrm>
          <a:off x="6591300" y="219075"/>
          <a:ext cx="1440000" cy="540000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10</xdr:col>
      <xdr:colOff>571500</xdr:colOff>
      <xdr:row>0</xdr:row>
      <xdr:rowOff>219075</xdr:rowOff>
    </xdr:from>
    <xdr:to>
      <xdr:col>13</xdr:col>
      <xdr:colOff>182700</xdr:colOff>
      <xdr:row>0</xdr:row>
      <xdr:rowOff>759075</xdr:rowOff>
    </xdr:to>
    <xdr:sp macro="" textlink="">
      <xdr:nvSpPr>
        <xdr:cNvPr id="9" name="Retângulo: Cantos Superiores Arredondados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04582F7-875A-484C-A521-B8D78A021921}"/>
            </a:ext>
          </a:extLst>
        </xdr:cNvPr>
        <xdr:cNvSpPr/>
      </xdr:nvSpPr>
      <xdr:spPr>
        <a:xfrm>
          <a:off x="8105775" y="219075"/>
          <a:ext cx="1440000" cy="540000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PRODUTOS</a:t>
          </a:r>
        </a:p>
      </xdr:txBody>
    </xdr:sp>
    <xdr:clientData/>
  </xdr:twoCellAnchor>
  <xdr:twoCellAnchor editAs="absolute">
    <xdr:from>
      <xdr:col>13</xdr:col>
      <xdr:colOff>257175</xdr:colOff>
      <xdr:row>0</xdr:row>
      <xdr:rowOff>219075</xdr:rowOff>
    </xdr:from>
    <xdr:to>
      <xdr:col>15</xdr:col>
      <xdr:colOff>477975</xdr:colOff>
      <xdr:row>0</xdr:row>
      <xdr:rowOff>759075</xdr:rowOff>
    </xdr:to>
    <xdr:sp macro="" textlink="">
      <xdr:nvSpPr>
        <xdr:cNvPr id="10" name="Retângulo: Cantos Superiores Arredondados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97BF1DF-A1D1-4BC6-B1BF-4C63DBE9C39D}"/>
            </a:ext>
          </a:extLst>
        </xdr:cNvPr>
        <xdr:cNvSpPr/>
      </xdr:nvSpPr>
      <xdr:spPr>
        <a:xfrm>
          <a:off x="9620250" y="219075"/>
          <a:ext cx="1440000" cy="540000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VENDEDORES</a:t>
          </a:r>
        </a:p>
      </xdr:txBody>
    </xdr:sp>
    <xdr:clientData/>
  </xdr:twoCellAnchor>
  <xdr:twoCellAnchor editAs="absolute">
    <xdr:from>
      <xdr:col>0</xdr:col>
      <xdr:colOff>107126</xdr:colOff>
      <xdr:row>6</xdr:row>
      <xdr:rowOff>121735</xdr:rowOff>
    </xdr:from>
    <xdr:to>
      <xdr:col>0</xdr:col>
      <xdr:colOff>1601125</xdr:colOff>
      <xdr:row>8</xdr:row>
      <xdr:rowOff>219739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AD80689D-22EB-44AC-99D5-7D9EE2F37149}"/>
            </a:ext>
          </a:extLst>
        </xdr:cNvPr>
        <xdr:cNvSpPr/>
      </xdr:nvSpPr>
      <xdr:spPr>
        <a:xfrm>
          <a:off x="107126" y="2121985"/>
          <a:ext cx="1493999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Sistema</a:t>
          </a:r>
        </a:p>
      </xdr:txBody>
    </xdr:sp>
    <xdr:clientData/>
  </xdr:twoCellAnchor>
  <xdr:twoCellAnchor editAs="absolute">
    <xdr:from>
      <xdr:col>0</xdr:col>
      <xdr:colOff>1481751</xdr:colOff>
      <xdr:row>7</xdr:row>
      <xdr:rowOff>83635</xdr:rowOff>
    </xdr:from>
    <xdr:to>
      <xdr:col>0</xdr:col>
      <xdr:colOff>1883848</xdr:colOff>
      <xdr:row>8</xdr:row>
      <xdr:rowOff>147481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6D72FD0A-342E-43F7-A526-5BC135C7281E}"/>
            </a:ext>
          </a:extLst>
        </xdr:cNvPr>
        <xdr:cNvSpPr/>
      </xdr:nvSpPr>
      <xdr:spPr>
        <a:xfrm>
          <a:off x="1481751" y="2331535"/>
          <a:ext cx="402097" cy="31149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v.1</a:t>
          </a:r>
        </a:p>
      </xdr:txBody>
    </xdr:sp>
    <xdr:clientData/>
  </xdr:twoCellAnchor>
  <xdr:twoCellAnchor editAs="oneCell">
    <xdr:from>
      <xdr:col>1</xdr:col>
      <xdr:colOff>324881</xdr:colOff>
      <xdr:row>2</xdr:row>
      <xdr:rowOff>228600</xdr:rowOff>
    </xdr:from>
    <xdr:to>
      <xdr:col>5</xdr:col>
      <xdr:colOff>592703</xdr:colOff>
      <xdr:row>13</xdr:row>
      <xdr:rowOff>219076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4DBE4646-6F0B-44C9-A870-F8907F41C8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2756" y="1238250"/>
          <a:ext cx="2706222" cy="2714626"/>
        </a:xfrm>
        <a:prstGeom prst="rect">
          <a:avLst/>
        </a:prstGeom>
      </xdr:spPr>
    </xdr:pic>
    <xdr:clientData/>
  </xdr:twoCellAnchor>
  <xdr:twoCellAnchor editAs="oneCell">
    <xdr:from>
      <xdr:col>1</xdr:col>
      <xdr:colOff>361950</xdr:colOff>
      <xdr:row>8</xdr:row>
      <xdr:rowOff>161925</xdr:rowOff>
    </xdr:from>
    <xdr:to>
      <xdr:col>8</xdr:col>
      <xdr:colOff>137631</xdr:colOff>
      <xdr:row>18</xdr:row>
      <xdr:rowOff>13332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5BDB9A40-0D6F-47A3-ADEC-951F07912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9825" y="2657475"/>
          <a:ext cx="4042881" cy="2327907"/>
        </a:xfrm>
        <a:prstGeom prst="rect">
          <a:avLst/>
        </a:prstGeom>
      </xdr:spPr>
    </xdr:pic>
    <xdr:clientData/>
  </xdr:twoCellAnchor>
  <xdr:twoCellAnchor editAs="absolute">
    <xdr:from>
      <xdr:col>5</xdr:col>
      <xdr:colOff>389787</xdr:colOff>
      <xdr:row>2</xdr:row>
      <xdr:rowOff>112210</xdr:rowOff>
    </xdr:from>
    <xdr:to>
      <xdr:col>11</xdr:col>
      <xdr:colOff>251677</xdr:colOff>
      <xdr:row>7</xdr:row>
      <xdr:rowOff>218623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67814620-A261-4DAB-A90E-2698FABFB839}"/>
            </a:ext>
          </a:extLst>
        </xdr:cNvPr>
        <xdr:cNvSpPr/>
      </xdr:nvSpPr>
      <xdr:spPr>
        <a:xfrm>
          <a:off x="4876062" y="1121860"/>
          <a:ext cx="3519490" cy="134466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8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CARPEP</a:t>
          </a:r>
        </a:p>
      </xdr:txBody>
    </xdr:sp>
    <xdr:clientData/>
  </xdr:twoCellAnchor>
  <xdr:twoCellAnchor editAs="absolute">
    <xdr:from>
      <xdr:col>5</xdr:col>
      <xdr:colOff>456931</xdr:colOff>
      <xdr:row>6</xdr:row>
      <xdr:rowOff>102685</xdr:rowOff>
    </xdr:from>
    <xdr:to>
      <xdr:col>13</xdr:col>
      <xdr:colOff>184533</xdr:colOff>
      <xdr:row>9</xdr:row>
      <xdr:rowOff>15620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8EC18157-7D55-4E92-A5A2-60F07EACD96B}"/>
            </a:ext>
          </a:extLst>
        </xdr:cNvPr>
        <xdr:cNvSpPr/>
      </xdr:nvSpPr>
      <xdr:spPr>
        <a:xfrm>
          <a:off x="4943206" y="2102935"/>
          <a:ext cx="4604402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CARROS E ACESSÓRIOS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109036</xdr:colOff>
      <xdr:row>9</xdr:row>
      <xdr:rowOff>16960</xdr:rowOff>
    </xdr:from>
    <xdr:to>
      <xdr:col>0</xdr:col>
      <xdr:colOff>1884971</xdr:colOff>
      <xdr:row>13</xdr:row>
      <xdr:rowOff>25145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23500562-05C0-422B-B9FA-52FE74B61633}"/>
            </a:ext>
          </a:extLst>
        </xdr:cNvPr>
        <xdr:cNvSpPr/>
      </xdr:nvSpPr>
      <xdr:spPr>
        <a:xfrm>
          <a:off x="109036" y="2417260"/>
          <a:ext cx="177593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VENDAS</a:t>
          </a:r>
        </a:p>
      </xdr:txBody>
    </xdr:sp>
    <xdr:clientData/>
  </xdr:twoCellAnchor>
  <xdr:twoCellAnchor editAs="absolute">
    <xdr:from>
      <xdr:col>1</xdr:col>
      <xdr:colOff>3663</xdr:colOff>
      <xdr:row>0</xdr:row>
      <xdr:rowOff>219075</xdr:rowOff>
    </xdr:from>
    <xdr:to>
      <xdr:col>2</xdr:col>
      <xdr:colOff>830400</xdr:colOff>
      <xdr:row>0</xdr:row>
      <xdr:rowOff>759075</xdr:rowOff>
    </xdr:to>
    <xdr:sp macro="" textlink="">
      <xdr:nvSpPr>
        <xdr:cNvPr id="3" name="Retângulo: Cantos Superiore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9FEC51-6360-42A1-8930-997B9084CD97}"/>
            </a:ext>
          </a:extLst>
        </xdr:cNvPr>
        <xdr:cNvSpPr/>
      </xdr:nvSpPr>
      <xdr:spPr>
        <a:xfrm>
          <a:off x="2047875" y="219075"/>
          <a:ext cx="1440000" cy="540000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INÍCIO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3663</xdr:colOff>
      <xdr:row>8</xdr:row>
      <xdr:rowOff>28336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A013F95B-6A4C-434B-B50F-67903BB74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7875" cy="2180986"/>
        </a:xfrm>
        <a:prstGeom prst="rect">
          <a:avLst/>
        </a:prstGeom>
      </xdr:spPr>
    </xdr:pic>
    <xdr:clientData/>
  </xdr:twoCellAnchor>
  <xdr:twoCellAnchor editAs="absolute">
    <xdr:from>
      <xdr:col>2</xdr:col>
      <xdr:colOff>904875</xdr:colOff>
      <xdr:row>0</xdr:row>
      <xdr:rowOff>219075</xdr:rowOff>
    </xdr:from>
    <xdr:to>
      <xdr:col>3</xdr:col>
      <xdr:colOff>1078050</xdr:colOff>
      <xdr:row>0</xdr:row>
      <xdr:rowOff>759075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8283A86A-D14E-43D5-8E49-11EB9786DFCF}"/>
            </a:ext>
          </a:extLst>
        </xdr:cNvPr>
        <xdr:cNvSpPr/>
      </xdr:nvSpPr>
      <xdr:spPr>
        <a:xfrm>
          <a:off x="3562350" y="219075"/>
          <a:ext cx="1440000" cy="540000"/>
        </a:xfrm>
        <a:prstGeom prst="round2Same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FORM. VENDA</a:t>
          </a:r>
        </a:p>
      </xdr:txBody>
    </xdr:sp>
    <xdr:clientData/>
  </xdr:twoCellAnchor>
  <xdr:twoCellAnchor editAs="absolute">
    <xdr:from>
      <xdr:col>3</xdr:col>
      <xdr:colOff>1152525</xdr:colOff>
      <xdr:row>0</xdr:row>
      <xdr:rowOff>219075</xdr:rowOff>
    </xdr:from>
    <xdr:to>
      <xdr:col>5</xdr:col>
      <xdr:colOff>401775</xdr:colOff>
      <xdr:row>0</xdr:row>
      <xdr:rowOff>759075</xdr:rowOff>
    </xdr:to>
    <xdr:sp macro="" textlink="">
      <xdr:nvSpPr>
        <xdr:cNvPr id="6" name="Retângulo: Cantos Superiore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EEB66F3-4CB6-4120-993E-B06023DACE6E}"/>
            </a:ext>
          </a:extLst>
        </xdr:cNvPr>
        <xdr:cNvSpPr/>
      </xdr:nvSpPr>
      <xdr:spPr>
        <a:xfrm>
          <a:off x="5076825" y="219075"/>
          <a:ext cx="1440000" cy="540000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FORM. COMPRA</a:t>
          </a:r>
        </a:p>
      </xdr:txBody>
    </xdr:sp>
    <xdr:clientData/>
  </xdr:twoCellAnchor>
  <xdr:twoCellAnchor editAs="absolute">
    <xdr:from>
      <xdr:col>5</xdr:col>
      <xdr:colOff>476250</xdr:colOff>
      <xdr:row>0</xdr:row>
      <xdr:rowOff>219075</xdr:rowOff>
    </xdr:from>
    <xdr:to>
      <xdr:col>7</xdr:col>
      <xdr:colOff>182700</xdr:colOff>
      <xdr:row>0</xdr:row>
      <xdr:rowOff>759075</xdr:rowOff>
    </xdr:to>
    <xdr:sp macro="" textlink="">
      <xdr:nvSpPr>
        <xdr:cNvPr id="7" name="Retângulo: Cantos Superiores Arredondado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F214D4F-FDCD-4ACE-AFDE-7043908ECFB9}"/>
            </a:ext>
          </a:extLst>
        </xdr:cNvPr>
        <xdr:cNvSpPr/>
      </xdr:nvSpPr>
      <xdr:spPr>
        <a:xfrm>
          <a:off x="6591300" y="219075"/>
          <a:ext cx="1440000" cy="540000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7</xdr:col>
      <xdr:colOff>257175</xdr:colOff>
      <xdr:row>0</xdr:row>
      <xdr:rowOff>219075</xdr:rowOff>
    </xdr:from>
    <xdr:to>
      <xdr:col>8</xdr:col>
      <xdr:colOff>1087575</xdr:colOff>
      <xdr:row>0</xdr:row>
      <xdr:rowOff>759075</xdr:rowOff>
    </xdr:to>
    <xdr:sp macro="" textlink="">
      <xdr:nvSpPr>
        <xdr:cNvPr id="8" name="Retângulo: Cantos Superiores Arredondado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02E68AC-5428-4285-AFED-45B36CF345E2}"/>
            </a:ext>
          </a:extLst>
        </xdr:cNvPr>
        <xdr:cNvSpPr/>
      </xdr:nvSpPr>
      <xdr:spPr>
        <a:xfrm>
          <a:off x="8105775" y="219075"/>
          <a:ext cx="1440000" cy="540000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PRODUTOS</a:t>
          </a:r>
        </a:p>
      </xdr:txBody>
    </xdr:sp>
    <xdr:clientData/>
  </xdr:twoCellAnchor>
  <xdr:twoCellAnchor editAs="absolute">
    <xdr:from>
      <xdr:col>8</xdr:col>
      <xdr:colOff>1162050</xdr:colOff>
      <xdr:row>0</xdr:row>
      <xdr:rowOff>219075</xdr:rowOff>
    </xdr:from>
    <xdr:to>
      <xdr:col>10</xdr:col>
      <xdr:colOff>601800</xdr:colOff>
      <xdr:row>0</xdr:row>
      <xdr:rowOff>759075</xdr:rowOff>
    </xdr:to>
    <xdr:sp macro="" textlink="">
      <xdr:nvSpPr>
        <xdr:cNvPr id="9" name="Retângulo: Cantos Superiores Arredondado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89F168C-B28E-4953-A771-045684AFB09A}"/>
            </a:ext>
          </a:extLst>
        </xdr:cNvPr>
        <xdr:cNvSpPr/>
      </xdr:nvSpPr>
      <xdr:spPr>
        <a:xfrm>
          <a:off x="9620250" y="219075"/>
          <a:ext cx="1440000" cy="540000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VENDEDORES</a:t>
          </a:r>
        </a:p>
      </xdr:txBody>
    </xdr:sp>
    <xdr:clientData/>
  </xdr:twoCellAnchor>
  <xdr:twoCellAnchor editAs="absolute">
    <xdr:from>
      <xdr:col>0</xdr:col>
      <xdr:colOff>107126</xdr:colOff>
      <xdr:row>7</xdr:row>
      <xdr:rowOff>45535</xdr:rowOff>
    </xdr:from>
    <xdr:to>
      <xdr:col>0</xdr:col>
      <xdr:colOff>1601125</xdr:colOff>
      <xdr:row>10</xdr:row>
      <xdr:rowOff>238789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D997FBA-B1B0-40F3-A16C-D436A5923B37}"/>
            </a:ext>
          </a:extLst>
        </xdr:cNvPr>
        <xdr:cNvSpPr/>
      </xdr:nvSpPr>
      <xdr:spPr>
        <a:xfrm>
          <a:off x="107126" y="2121985"/>
          <a:ext cx="1493999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Sistema</a:t>
          </a:r>
        </a:p>
      </xdr:txBody>
    </xdr:sp>
    <xdr:clientData/>
  </xdr:twoCellAnchor>
  <xdr:twoCellAnchor editAs="absolute">
    <xdr:from>
      <xdr:col>0</xdr:col>
      <xdr:colOff>1481751</xdr:colOff>
      <xdr:row>8</xdr:row>
      <xdr:rowOff>178885</xdr:rowOff>
    </xdr:from>
    <xdr:to>
      <xdr:col>0</xdr:col>
      <xdr:colOff>1883848</xdr:colOff>
      <xdr:row>10</xdr:row>
      <xdr:rowOff>166531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6728A4E5-E465-4B7E-BA5D-667B747BE39F}"/>
            </a:ext>
          </a:extLst>
        </xdr:cNvPr>
        <xdr:cNvSpPr/>
      </xdr:nvSpPr>
      <xdr:spPr>
        <a:xfrm>
          <a:off x="1481751" y="2331535"/>
          <a:ext cx="402097" cy="31149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v.1</a:t>
          </a:r>
        </a:p>
      </xdr:txBody>
    </xdr:sp>
    <xdr:clientData/>
  </xdr:twoCellAnchor>
  <xdr:twoCellAnchor editAs="oneCell">
    <xdr:from>
      <xdr:col>0</xdr:col>
      <xdr:colOff>1990724</xdr:colOff>
      <xdr:row>1</xdr:row>
      <xdr:rowOff>90295</xdr:rowOff>
    </xdr:from>
    <xdr:to>
      <xdr:col>2</xdr:col>
      <xdr:colOff>660220</xdr:colOff>
      <xdr:row>5</xdr:row>
      <xdr:rowOff>28575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A5D6C27C-CFFF-4F39-A425-FEC725D523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0724" y="852295"/>
          <a:ext cx="1326971" cy="928880"/>
        </a:xfrm>
        <a:prstGeom prst="rect">
          <a:avLst/>
        </a:prstGeom>
      </xdr:spPr>
    </xdr:pic>
    <xdr:clientData/>
  </xdr:twoCellAnchor>
  <xdr:twoCellAnchor editAs="oneCell">
    <xdr:from>
      <xdr:col>4</xdr:col>
      <xdr:colOff>115956</xdr:colOff>
      <xdr:row>3</xdr:row>
      <xdr:rowOff>218201</xdr:rowOff>
    </xdr:from>
    <xdr:to>
      <xdr:col>4</xdr:col>
      <xdr:colOff>427795</xdr:colOff>
      <xdr:row>5</xdr:row>
      <xdr:rowOff>34375</xdr:rowOff>
    </xdr:to>
    <xdr:pic macro="[0]!DATAHOJE">
      <xdr:nvPicPr>
        <xdr:cNvPr id="14" name="Imagem 13">
          <a:extLst>
            <a:ext uri="{FF2B5EF4-FFF2-40B4-BE49-F238E27FC236}">
              <a16:creationId xmlns:a16="http://schemas.microsoft.com/office/drawing/2014/main" id="{64221116-0955-494F-A976-AFF957070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3891" y="1477158"/>
          <a:ext cx="311839" cy="31313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>
    <xdr:from>
      <xdr:col>3</xdr:col>
      <xdr:colOff>0</xdr:colOff>
      <xdr:row>17</xdr:row>
      <xdr:rowOff>200025</xdr:rowOff>
    </xdr:from>
    <xdr:to>
      <xdr:col>4</xdr:col>
      <xdr:colOff>38100</xdr:colOff>
      <xdr:row>19</xdr:row>
      <xdr:rowOff>142875</xdr:rowOff>
    </xdr:to>
    <xdr:sp macro="[0]!CADASTRA_VENDAS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D658ECC-75AB-41C2-921D-40DE280A40A0}"/>
            </a:ext>
          </a:extLst>
        </xdr:cNvPr>
        <xdr:cNvSpPr/>
      </xdr:nvSpPr>
      <xdr:spPr>
        <a:xfrm>
          <a:off x="3924300" y="3895725"/>
          <a:ext cx="1619250" cy="43815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CADASTRAR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109036</xdr:colOff>
      <xdr:row>7</xdr:row>
      <xdr:rowOff>169360</xdr:rowOff>
    </xdr:from>
    <xdr:to>
      <xdr:col>0</xdr:col>
      <xdr:colOff>1884971</xdr:colOff>
      <xdr:row>10</xdr:row>
      <xdr:rowOff>82295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277EECE3-DA33-4F63-B4A3-B4DDCF60EB01}"/>
            </a:ext>
          </a:extLst>
        </xdr:cNvPr>
        <xdr:cNvSpPr/>
      </xdr:nvSpPr>
      <xdr:spPr>
        <a:xfrm>
          <a:off x="109036" y="2417260"/>
          <a:ext cx="177593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VENDAS</a:t>
          </a:r>
        </a:p>
      </xdr:txBody>
    </xdr:sp>
    <xdr:clientData/>
  </xdr:twoCellAnchor>
  <xdr:twoCellAnchor editAs="absolute">
    <xdr:from>
      <xdr:col>1</xdr:col>
      <xdr:colOff>0</xdr:colOff>
      <xdr:row>0</xdr:row>
      <xdr:rowOff>219075</xdr:rowOff>
    </xdr:from>
    <xdr:to>
      <xdr:col>3</xdr:col>
      <xdr:colOff>220800</xdr:colOff>
      <xdr:row>0</xdr:row>
      <xdr:rowOff>759075</xdr:rowOff>
    </xdr:to>
    <xdr:sp macro="" textlink="">
      <xdr:nvSpPr>
        <xdr:cNvPr id="3" name="Retângulo: Cantos Superiore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43F0DF3-DCA9-4228-8B11-754114238A76}"/>
            </a:ext>
          </a:extLst>
        </xdr:cNvPr>
        <xdr:cNvSpPr/>
      </xdr:nvSpPr>
      <xdr:spPr>
        <a:xfrm>
          <a:off x="2047875" y="219075"/>
          <a:ext cx="1440000" cy="540000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INÍCIO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0</xdr:colOff>
      <xdr:row>6</xdr:row>
      <xdr:rowOff>180736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9FE37D83-9BCC-4BEE-AB62-F7019C984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7875" cy="2180986"/>
        </a:xfrm>
        <a:prstGeom prst="rect">
          <a:avLst/>
        </a:prstGeom>
      </xdr:spPr>
    </xdr:pic>
    <xdr:clientData/>
  </xdr:twoCellAnchor>
  <xdr:twoCellAnchor editAs="absolute">
    <xdr:from>
      <xdr:col>3</xdr:col>
      <xdr:colOff>295275</xdr:colOff>
      <xdr:row>0</xdr:row>
      <xdr:rowOff>219075</xdr:rowOff>
    </xdr:from>
    <xdr:to>
      <xdr:col>5</xdr:col>
      <xdr:colOff>516075</xdr:colOff>
      <xdr:row>0</xdr:row>
      <xdr:rowOff>759075</xdr:rowOff>
    </xdr:to>
    <xdr:sp macro="" textlink="">
      <xdr:nvSpPr>
        <xdr:cNvPr id="5" name="Retângulo: Cantos Superiore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BEED944-39BE-4D88-B2FA-B672BE8843F2}"/>
            </a:ext>
          </a:extLst>
        </xdr:cNvPr>
        <xdr:cNvSpPr/>
      </xdr:nvSpPr>
      <xdr:spPr>
        <a:xfrm>
          <a:off x="3562350" y="219075"/>
          <a:ext cx="1440000" cy="540000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FORM. VENDA</a:t>
          </a:r>
        </a:p>
      </xdr:txBody>
    </xdr:sp>
    <xdr:clientData/>
  </xdr:twoCellAnchor>
  <xdr:twoCellAnchor editAs="absolute">
    <xdr:from>
      <xdr:col>5</xdr:col>
      <xdr:colOff>590550</xdr:colOff>
      <xdr:row>0</xdr:row>
      <xdr:rowOff>219075</xdr:rowOff>
    </xdr:from>
    <xdr:to>
      <xdr:col>8</xdr:col>
      <xdr:colOff>201750</xdr:colOff>
      <xdr:row>0</xdr:row>
      <xdr:rowOff>759075</xdr:rowOff>
    </xdr:to>
    <xdr:sp macro="" textlink="">
      <xdr:nvSpPr>
        <xdr:cNvPr id="6" name="Retângulo: Cantos Superiores Arredondados 5">
          <a:extLst>
            <a:ext uri="{FF2B5EF4-FFF2-40B4-BE49-F238E27FC236}">
              <a16:creationId xmlns:a16="http://schemas.microsoft.com/office/drawing/2014/main" id="{DC68C3D3-630B-4F78-B581-D0C0DEE42FFF}"/>
            </a:ext>
          </a:extLst>
        </xdr:cNvPr>
        <xdr:cNvSpPr/>
      </xdr:nvSpPr>
      <xdr:spPr>
        <a:xfrm>
          <a:off x="5076825" y="219075"/>
          <a:ext cx="1440000" cy="540000"/>
        </a:xfrm>
        <a:prstGeom prst="round2Same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FORM. COMPRA</a:t>
          </a:r>
        </a:p>
      </xdr:txBody>
    </xdr:sp>
    <xdr:clientData/>
  </xdr:twoCellAnchor>
  <xdr:twoCellAnchor editAs="absolute">
    <xdr:from>
      <xdr:col>8</xdr:col>
      <xdr:colOff>276225</xdr:colOff>
      <xdr:row>0</xdr:row>
      <xdr:rowOff>219075</xdr:rowOff>
    </xdr:from>
    <xdr:to>
      <xdr:col>10</xdr:col>
      <xdr:colOff>497025</xdr:colOff>
      <xdr:row>0</xdr:row>
      <xdr:rowOff>759075</xdr:rowOff>
    </xdr:to>
    <xdr:sp macro="" textlink="">
      <xdr:nvSpPr>
        <xdr:cNvPr id="7" name="Retângulo: Cantos Superiores Arredondado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CD15B6E-AB56-4402-A213-A35DD9A279B1}"/>
            </a:ext>
          </a:extLst>
        </xdr:cNvPr>
        <xdr:cNvSpPr/>
      </xdr:nvSpPr>
      <xdr:spPr>
        <a:xfrm>
          <a:off x="6591300" y="219075"/>
          <a:ext cx="1440000" cy="540000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10</xdr:col>
      <xdr:colOff>571500</xdr:colOff>
      <xdr:row>0</xdr:row>
      <xdr:rowOff>219075</xdr:rowOff>
    </xdr:from>
    <xdr:to>
      <xdr:col>13</xdr:col>
      <xdr:colOff>182700</xdr:colOff>
      <xdr:row>0</xdr:row>
      <xdr:rowOff>759075</xdr:rowOff>
    </xdr:to>
    <xdr:sp macro="" textlink="">
      <xdr:nvSpPr>
        <xdr:cNvPr id="8" name="Retângulo: Cantos Superiores Arredondado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72CEB84-7C48-4809-94BA-283329386694}"/>
            </a:ext>
          </a:extLst>
        </xdr:cNvPr>
        <xdr:cNvSpPr/>
      </xdr:nvSpPr>
      <xdr:spPr>
        <a:xfrm>
          <a:off x="8105775" y="219075"/>
          <a:ext cx="1440000" cy="540000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PRODUTOS</a:t>
          </a:r>
        </a:p>
      </xdr:txBody>
    </xdr:sp>
    <xdr:clientData/>
  </xdr:twoCellAnchor>
  <xdr:twoCellAnchor editAs="absolute">
    <xdr:from>
      <xdr:col>13</xdr:col>
      <xdr:colOff>257175</xdr:colOff>
      <xdr:row>0</xdr:row>
      <xdr:rowOff>219075</xdr:rowOff>
    </xdr:from>
    <xdr:to>
      <xdr:col>15</xdr:col>
      <xdr:colOff>477975</xdr:colOff>
      <xdr:row>0</xdr:row>
      <xdr:rowOff>759075</xdr:rowOff>
    </xdr:to>
    <xdr:sp macro="" textlink="">
      <xdr:nvSpPr>
        <xdr:cNvPr id="9" name="Retângulo: Cantos Superiores Arredondado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8814903-8DDD-4C5A-B08B-A9643A1CC7C9}"/>
            </a:ext>
          </a:extLst>
        </xdr:cNvPr>
        <xdr:cNvSpPr/>
      </xdr:nvSpPr>
      <xdr:spPr>
        <a:xfrm>
          <a:off x="9620250" y="219075"/>
          <a:ext cx="1440000" cy="540000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VENDEDORES</a:t>
          </a:r>
        </a:p>
      </xdr:txBody>
    </xdr:sp>
    <xdr:clientData/>
  </xdr:twoCellAnchor>
  <xdr:twoCellAnchor editAs="absolute">
    <xdr:from>
      <xdr:col>0</xdr:col>
      <xdr:colOff>107126</xdr:colOff>
      <xdr:row>6</xdr:row>
      <xdr:rowOff>121735</xdr:rowOff>
    </xdr:from>
    <xdr:to>
      <xdr:col>0</xdr:col>
      <xdr:colOff>1601125</xdr:colOff>
      <xdr:row>8</xdr:row>
      <xdr:rowOff>219739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4DC1B7AB-9967-481E-864F-7B8942176217}"/>
            </a:ext>
          </a:extLst>
        </xdr:cNvPr>
        <xdr:cNvSpPr/>
      </xdr:nvSpPr>
      <xdr:spPr>
        <a:xfrm>
          <a:off x="107126" y="2121985"/>
          <a:ext cx="1493999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Sistema</a:t>
          </a:r>
        </a:p>
      </xdr:txBody>
    </xdr:sp>
    <xdr:clientData/>
  </xdr:twoCellAnchor>
  <xdr:twoCellAnchor editAs="absolute">
    <xdr:from>
      <xdr:col>0</xdr:col>
      <xdr:colOff>1481751</xdr:colOff>
      <xdr:row>7</xdr:row>
      <xdr:rowOff>83635</xdr:rowOff>
    </xdr:from>
    <xdr:to>
      <xdr:col>0</xdr:col>
      <xdr:colOff>1883848</xdr:colOff>
      <xdr:row>8</xdr:row>
      <xdr:rowOff>147481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EA370C17-52E5-45E2-8854-1B108DC4E0FE}"/>
            </a:ext>
          </a:extLst>
        </xdr:cNvPr>
        <xdr:cNvSpPr/>
      </xdr:nvSpPr>
      <xdr:spPr>
        <a:xfrm>
          <a:off x="1481751" y="2331535"/>
          <a:ext cx="402097" cy="31149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v.1</a:t>
          </a:r>
        </a:p>
      </xdr:txBody>
    </xdr:sp>
    <xdr:clientData/>
  </xdr:twoCellAnchor>
  <xdr:twoCellAnchor editAs="oneCell">
    <xdr:from>
      <xdr:col>1</xdr:col>
      <xdr:colOff>28575</xdr:colOff>
      <xdr:row>0</xdr:row>
      <xdr:rowOff>714375</xdr:rowOff>
    </xdr:from>
    <xdr:to>
      <xdr:col>3</xdr:col>
      <xdr:colOff>35902</xdr:colOff>
      <xdr:row>4</xdr:row>
      <xdr:rowOff>95250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16DA41F9-188D-4DE4-9882-6BA65715D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6450" y="714375"/>
          <a:ext cx="1226527" cy="8858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109036</xdr:colOff>
      <xdr:row>7</xdr:row>
      <xdr:rowOff>169360</xdr:rowOff>
    </xdr:from>
    <xdr:to>
      <xdr:col>0</xdr:col>
      <xdr:colOff>1884971</xdr:colOff>
      <xdr:row>10</xdr:row>
      <xdr:rowOff>82295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1BE0545C-D5B3-4A21-B90E-C3A237C8943F}"/>
            </a:ext>
          </a:extLst>
        </xdr:cNvPr>
        <xdr:cNvSpPr/>
      </xdr:nvSpPr>
      <xdr:spPr>
        <a:xfrm>
          <a:off x="109036" y="2417260"/>
          <a:ext cx="177593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VENDAS</a:t>
          </a:r>
        </a:p>
      </xdr:txBody>
    </xdr:sp>
    <xdr:clientData/>
  </xdr:twoCellAnchor>
  <xdr:twoCellAnchor editAs="absolute">
    <xdr:from>
      <xdr:col>1</xdr:col>
      <xdr:colOff>0</xdr:colOff>
      <xdr:row>0</xdr:row>
      <xdr:rowOff>219075</xdr:rowOff>
    </xdr:from>
    <xdr:to>
      <xdr:col>3</xdr:col>
      <xdr:colOff>220800</xdr:colOff>
      <xdr:row>0</xdr:row>
      <xdr:rowOff>759075</xdr:rowOff>
    </xdr:to>
    <xdr:sp macro="" textlink="">
      <xdr:nvSpPr>
        <xdr:cNvPr id="3" name="Retângulo: Cantos Superiore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EFE0B7-94AF-481A-87FE-4CA12AE87EB6}"/>
            </a:ext>
          </a:extLst>
        </xdr:cNvPr>
        <xdr:cNvSpPr/>
      </xdr:nvSpPr>
      <xdr:spPr>
        <a:xfrm>
          <a:off x="2047875" y="219075"/>
          <a:ext cx="1440000" cy="540000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INÍCIO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0</xdr:colOff>
      <xdr:row>6</xdr:row>
      <xdr:rowOff>180736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1A5F01F8-CE5D-46F2-ABEA-99E9233B7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7875" cy="2180986"/>
        </a:xfrm>
        <a:prstGeom prst="rect">
          <a:avLst/>
        </a:prstGeom>
      </xdr:spPr>
    </xdr:pic>
    <xdr:clientData/>
  </xdr:twoCellAnchor>
  <xdr:twoCellAnchor editAs="absolute">
    <xdr:from>
      <xdr:col>3</xdr:col>
      <xdr:colOff>295275</xdr:colOff>
      <xdr:row>0</xdr:row>
      <xdr:rowOff>219075</xdr:rowOff>
    </xdr:from>
    <xdr:to>
      <xdr:col>5</xdr:col>
      <xdr:colOff>516075</xdr:colOff>
      <xdr:row>0</xdr:row>
      <xdr:rowOff>759075</xdr:rowOff>
    </xdr:to>
    <xdr:sp macro="" textlink="">
      <xdr:nvSpPr>
        <xdr:cNvPr id="5" name="Retângulo: Cantos Superiore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BBD3E89-6F36-4435-86A6-EE763E6EC274}"/>
            </a:ext>
          </a:extLst>
        </xdr:cNvPr>
        <xdr:cNvSpPr/>
      </xdr:nvSpPr>
      <xdr:spPr>
        <a:xfrm>
          <a:off x="3562350" y="219075"/>
          <a:ext cx="1440000" cy="540000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FORM. VENDA</a:t>
          </a:r>
        </a:p>
      </xdr:txBody>
    </xdr:sp>
    <xdr:clientData/>
  </xdr:twoCellAnchor>
  <xdr:twoCellAnchor editAs="absolute">
    <xdr:from>
      <xdr:col>5</xdr:col>
      <xdr:colOff>590550</xdr:colOff>
      <xdr:row>0</xdr:row>
      <xdr:rowOff>219075</xdr:rowOff>
    </xdr:from>
    <xdr:to>
      <xdr:col>8</xdr:col>
      <xdr:colOff>201750</xdr:colOff>
      <xdr:row>0</xdr:row>
      <xdr:rowOff>759075</xdr:rowOff>
    </xdr:to>
    <xdr:sp macro="" textlink="">
      <xdr:nvSpPr>
        <xdr:cNvPr id="6" name="Retângulo: Cantos Superiore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7BF5EF3-21F9-4E46-B1FA-5827636DB99A}"/>
            </a:ext>
          </a:extLst>
        </xdr:cNvPr>
        <xdr:cNvSpPr/>
      </xdr:nvSpPr>
      <xdr:spPr>
        <a:xfrm>
          <a:off x="5076825" y="219075"/>
          <a:ext cx="1440000" cy="540000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FORM. COMPRA</a:t>
          </a:r>
        </a:p>
      </xdr:txBody>
    </xdr:sp>
    <xdr:clientData/>
  </xdr:twoCellAnchor>
  <xdr:twoCellAnchor editAs="absolute">
    <xdr:from>
      <xdr:col>8</xdr:col>
      <xdr:colOff>276225</xdr:colOff>
      <xdr:row>0</xdr:row>
      <xdr:rowOff>219075</xdr:rowOff>
    </xdr:from>
    <xdr:to>
      <xdr:col>10</xdr:col>
      <xdr:colOff>497025</xdr:colOff>
      <xdr:row>0</xdr:row>
      <xdr:rowOff>759075</xdr:rowOff>
    </xdr:to>
    <xdr:sp macro="" textlink="">
      <xdr:nvSpPr>
        <xdr:cNvPr id="7" name="Retângulo: Cantos Superiores Arredondados 6">
          <a:extLst>
            <a:ext uri="{FF2B5EF4-FFF2-40B4-BE49-F238E27FC236}">
              <a16:creationId xmlns:a16="http://schemas.microsoft.com/office/drawing/2014/main" id="{4B4BDA03-A603-459F-B681-E51A0C40458C}"/>
            </a:ext>
          </a:extLst>
        </xdr:cNvPr>
        <xdr:cNvSpPr/>
      </xdr:nvSpPr>
      <xdr:spPr>
        <a:xfrm>
          <a:off x="6591300" y="219075"/>
          <a:ext cx="1440000" cy="540000"/>
        </a:xfrm>
        <a:prstGeom prst="round2Same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RELATÓRIOS</a:t>
          </a:r>
        </a:p>
      </xdr:txBody>
    </xdr:sp>
    <xdr:clientData/>
  </xdr:twoCellAnchor>
  <xdr:twoCellAnchor editAs="absolute">
    <xdr:from>
      <xdr:col>10</xdr:col>
      <xdr:colOff>571500</xdr:colOff>
      <xdr:row>0</xdr:row>
      <xdr:rowOff>219075</xdr:rowOff>
    </xdr:from>
    <xdr:to>
      <xdr:col>13</xdr:col>
      <xdr:colOff>182700</xdr:colOff>
      <xdr:row>0</xdr:row>
      <xdr:rowOff>759075</xdr:rowOff>
    </xdr:to>
    <xdr:sp macro="" textlink="">
      <xdr:nvSpPr>
        <xdr:cNvPr id="8" name="Retângulo: Cantos Superiores Arredondado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5A1F1B-445F-4875-BA5F-5C110EFB69E3}"/>
            </a:ext>
          </a:extLst>
        </xdr:cNvPr>
        <xdr:cNvSpPr/>
      </xdr:nvSpPr>
      <xdr:spPr>
        <a:xfrm>
          <a:off x="8105775" y="219075"/>
          <a:ext cx="1440000" cy="540000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PRODUTOS</a:t>
          </a:r>
        </a:p>
      </xdr:txBody>
    </xdr:sp>
    <xdr:clientData/>
  </xdr:twoCellAnchor>
  <xdr:twoCellAnchor editAs="absolute">
    <xdr:from>
      <xdr:col>13</xdr:col>
      <xdr:colOff>257175</xdr:colOff>
      <xdr:row>0</xdr:row>
      <xdr:rowOff>219075</xdr:rowOff>
    </xdr:from>
    <xdr:to>
      <xdr:col>15</xdr:col>
      <xdr:colOff>477975</xdr:colOff>
      <xdr:row>0</xdr:row>
      <xdr:rowOff>759075</xdr:rowOff>
    </xdr:to>
    <xdr:sp macro="" textlink="">
      <xdr:nvSpPr>
        <xdr:cNvPr id="9" name="Retângulo: Cantos Superiores Arredondado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08D75A9-BDE7-4C70-9392-56CB97525C4B}"/>
            </a:ext>
          </a:extLst>
        </xdr:cNvPr>
        <xdr:cNvSpPr/>
      </xdr:nvSpPr>
      <xdr:spPr>
        <a:xfrm>
          <a:off x="9620250" y="219075"/>
          <a:ext cx="1440000" cy="540000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VENDEDORES</a:t>
          </a:r>
        </a:p>
      </xdr:txBody>
    </xdr:sp>
    <xdr:clientData/>
  </xdr:twoCellAnchor>
  <xdr:twoCellAnchor editAs="absolute">
    <xdr:from>
      <xdr:col>0</xdr:col>
      <xdr:colOff>107126</xdr:colOff>
      <xdr:row>6</xdr:row>
      <xdr:rowOff>121735</xdr:rowOff>
    </xdr:from>
    <xdr:to>
      <xdr:col>0</xdr:col>
      <xdr:colOff>1601125</xdr:colOff>
      <xdr:row>8</xdr:row>
      <xdr:rowOff>219739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198E98A4-EA77-4B20-BD48-1F2E6D5DBB72}"/>
            </a:ext>
          </a:extLst>
        </xdr:cNvPr>
        <xdr:cNvSpPr/>
      </xdr:nvSpPr>
      <xdr:spPr>
        <a:xfrm>
          <a:off x="107126" y="2121985"/>
          <a:ext cx="1493999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Sistema</a:t>
          </a:r>
        </a:p>
      </xdr:txBody>
    </xdr:sp>
    <xdr:clientData/>
  </xdr:twoCellAnchor>
  <xdr:twoCellAnchor editAs="absolute">
    <xdr:from>
      <xdr:col>0</xdr:col>
      <xdr:colOff>1481751</xdr:colOff>
      <xdr:row>7</xdr:row>
      <xdr:rowOff>83635</xdr:rowOff>
    </xdr:from>
    <xdr:to>
      <xdr:col>0</xdr:col>
      <xdr:colOff>1883848</xdr:colOff>
      <xdr:row>8</xdr:row>
      <xdr:rowOff>147481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733109EC-2569-4879-A360-C698A894E563}"/>
            </a:ext>
          </a:extLst>
        </xdr:cNvPr>
        <xdr:cNvSpPr/>
      </xdr:nvSpPr>
      <xdr:spPr>
        <a:xfrm>
          <a:off x="1481751" y="2331535"/>
          <a:ext cx="402097" cy="31149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v.1</a:t>
          </a:r>
        </a:p>
      </xdr:txBody>
    </xdr:sp>
    <xdr:clientData/>
  </xdr:twoCellAnchor>
  <xdr:twoCellAnchor editAs="oneCell">
    <xdr:from>
      <xdr:col>0</xdr:col>
      <xdr:colOff>1924050</xdr:colOff>
      <xdr:row>1</xdr:row>
      <xdr:rowOff>114300</xdr:rowOff>
    </xdr:from>
    <xdr:to>
      <xdr:col>2</xdr:col>
      <xdr:colOff>425450</xdr:colOff>
      <xdr:row>4</xdr:row>
      <xdr:rowOff>66675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9E584410-7C00-493D-928F-792910FF5E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4050" y="876300"/>
          <a:ext cx="1158875" cy="6953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109036</xdr:colOff>
      <xdr:row>7</xdr:row>
      <xdr:rowOff>169360</xdr:rowOff>
    </xdr:from>
    <xdr:to>
      <xdr:col>0</xdr:col>
      <xdr:colOff>1884971</xdr:colOff>
      <xdr:row>10</xdr:row>
      <xdr:rowOff>82295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30BC6DAA-B026-4091-9E7B-0FD1FAD1B417}"/>
            </a:ext>
          </a:extLst>
        </xdr:cNvPr>
        <xdr:cNvSpPr/>
      </xdr:nvSpPr>
      <xdr:spPr>
        <a:xfrm>
          <a:off x="109036" y="2417260"/>
          <a:ext cx="177593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VENDAS</a:t>
          </a:r>
        </a:p>
      </xdr:txBody>
    </xdr:sp>
    <xdr:clientData/>
  </xdr:twoCellAnchor>
  <xdr:twoCellAnchor editAs="absolute">
    <xdr:from>
      <xdr:col>1</xdr:col>
      <xdr:colOff>0</xdr:colOff>
      <xdr:row>0</xdr:row>
      <xdr:rowOff>219075</xdr:rowOff>
    </xdr:from>
    <xdr:to>
      <xdr:col>3</xdr:col>
      <xdr:colOff>220800</xdr:colOff>
      <xdr:row>0</xdr:row>
      <xdr:rowOff>759075</xdr:rowOff>
    </xdr:to>
    <xdr:sp macro="" textlink="">
      <xdr:nvSpPr>
        <xdr:cNvPr id="3" name="Retângulo: Cantos Superiore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C46138-BBCC-4BDF-98B8-75CA4403A00F}"/>
            </a:ext>
          </a:extLst>
        </xdr:cNvPr>
        <xdr:cNvSpPr/>
      </xdr:nvSpPr>
      <xdr:spPr>
        <a:xfrm>
          <a:off x="2047875" y="219075"/>
          <a:ext cx="1440000" cy="540000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INÍCIO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0</xdr:colOff>
      <xdr:row>6</xdr:row>
      <xdr:rowOff>180736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B816411-9CDC-4F76-8CCE-8977E1E3D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7875" cy="2180986"/>
        </a:xfrm>
        <a:prstGeom prst="rect">
          <a:avLst/>
        </a:prstGeom>
      </xdr:spPr>
    </xdr:pic>
    <xdr:clientData/>
  </xdr:twoCellAnchor>
  <xdr:twoCellAnchor editAs="absolute">
    <xdr:from>
      <xdr:col>3</xdr:col>
      <xdr:colOff>295275</xdr:colOff>
      <xdr:row>0</xdr:row>
      <xdr:rowOff>219075</xdr:rowOff>
    </xdr:from>
    <xdr:to>
      <xdr:col>4</xdr:col>
      <xdr:colOff>1064344</xdr:colOff>
      <xdr:row>0</xdr:row>
      <xdr:rowOff>759075</xdr:rowOff>
    </xdr:to>
    <xdr:sp macro="" textlink="">
      <xdr:nvSpPr>
        <xdr:cNvPr id="5" name="Retângulo: Cantos Superiore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0B0DEB9-A8EE-4807-82F7-5F254E190D38}"/>
            </a:ext>
          </a:extLst>
        </xdr:cNvPr>
        <xdr:cNvSpPr/>
      </xdr:nvSpPr>
      <xdr:spPr>
        <a:xfrm>
          <a:off x="3562350" y="219075"/>
          <a:ext cx="1440000" cy="540000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FORM. VENDA</a:t>
          </a:r>
        </a:p>
      </xdr:txBody>
    </xdr:sp>
    <xdr:clientData/>
  </xdr:twoCellAnchor>
  <xdr:twoCellAnchor editAs="absolute">
    <xdr:from>
      <xdr:col>4</xdr:col>
      <xdr:colOff>1138819</xdr:colOff>
      <xdr:row>0</xdr:row>
      <xdr:rowOff>219075</xdr:rowOff>
    </xdr:from>
    <xdr:to>
      <xdr:col>6</xdr:col>
      <xdr:colOff>155287</xdr:colOff>
      <xdr:row>0</xdr:row>
      <xdr:rowOff>759075</xdr:rowOff>
    </xdr:to>
    <xdr:sp macro="" textlink="">
      <xdr:nvSpPr>
        <xdr:cNvPr id="6" name="Retângulo: Cantos Superiore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68638FA-A8E6-4E93-AB73-A03951EE4604}"/>
            </a:ext>
          </a:extLst>
        </xdr:cNvPr>
        <xdr:cNvSpPr/>
      </xdr:nvSpPr>
      <xdr:spPr>
        <a:xfrm>
          <a:off x="5076825" y="219075"/>
          <a:ext cx="1440000" cy="540000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FORM. COMPRA</a:t>
          </a:r>
        </a:p>
      </xdr:txBody>
    </xdr:sp>
    <xdr:clientData/>
  </xdr:twoCellAnchor>
  <xdr:twoCellAnchor editAs="absolute">
    <xdr:from>
      <xdr:col>6</xdr:col>
      <xdr:colOff>229762</xdr:colOff>
      <xdr:row>0</xdr:row>
      <xdr:rowOff>219075</xdr:rowOff>
    </xdr:from>
    <xdr:to>
      <xdr:col>8</xdr:col>
      <xdr:colOff>450561</xdr:colOff>
      <xdr:row>0</xdr:row>
      <xdr:rowOff>759075</xdr:rowOff>
    </xdr:to>
    <xdr:sp macro="" textlink="">
      <xdr:nvSpPr>
        <xdr:cNvPr id="7" name="Retângulo: Cantos Superiore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79D63F-E0A5-4184-B238-CA8304125CF0}"/>
            </a:ext>
          </a:extLst>
        </xdr:cNvPr>
        <xdr:cNvSpPr/>
      </xdr:nvSpPr>
      <xdr:spPr>
        <a:xfrm>
          <a:off x="6591300" y="219075"/>
          <a:ext cx="1440000" cy="540000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8</xdr:col>
      <xdr:colOff>525036</xdr:colOff>
      <xdr:row>0</xdr:row>
      <xdr:rowOff>219075</xdr:rowOff>
    </xdr:from>
    <xdr:to>
      <xdr:col>11</xdr:col>
      <xdr:colOff>136236</xdr:colOff>
      <xdr:row>0</xdr:row>
      <xdr:rowOff>759075</xdr:rowOff>
    </xdr:to>
    <xdr:sp macro="" textlink="">
      <xdr:nvSpPr>
        <xdr:cNvPr id="8" name="Retângulo: Cantos Superiores Arredondados 7">
          <a:extLst>
            <a:ext uri="{FF2B5EF4-FFF2-40B4-BE49-F238E27FC236}">
              <a16:creationId xmlns:a16="http://schemas.microsoft.com/office/drawing/2014/main" id="{66EC558F-D71A-4F39-AE92-E720E4AC71C6}"/>
            </a:ext>
          </a:extLst>
        </xdr:cNvPr>
        <xdr:cNvSpPr/>
      </xdr:nvSpPr>
      <xdr:spPr>
        <a:xfrm>
          <a:off x="8105775" y="219075"/>
          <a:ext cx="1440000" cy="540000"/>
        </a:xfrm>
        <a:prstGeom prst="round2Same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PRODUTOS</a:t>
          </a:r>
        </a:p>
      </xdr:txBody>
    </xdr:sp>
    <xdr:clientData/>
  </xdr:twoCellAnchor>
  <xdr:twoCellAnchor editAs="absolute">
    <xdr:from>
      <xdr:col>11</xdr:col>
      <xdr:colOff>210711</xdr:colOff>
      <xdr:row>0</xdr:row>
      <xdr:rowOff>219075</xdr:rowOff>
    </xdr:from>
    <xdr:to>
      <xdr:col>13</xdr:col>
      <xdr:colOff>431512</xdr:colOff>
      <xdr:row>0</xdr:row>
      <xdr:rowOff>759075</xdr:rowOff>
    </xdr:to>
    <xdr:sp macro="" textlink="">
      <xdr:nvSpPr>
        <xdr:cNvPr id="9" name="Retângulo: Cantos Superiores Arredondado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CE82C0-5F30-4019-AAEC-6A01D138C5FC}"/>
            </a:ext>
          </a:extLst>
        </xdr:cNvPr>
        <xdr:cNvSpPr/>
      </xdr:nvSpPr>
      <xdr:spPr>
        <a:xfrm>
          <a:off x="9620250" y="219075"/>
          <a:ext cx="1440000" cy="540000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VENDEDORES</a:t>
          </a:r>
        </a:p>
      </xdr:txBody>
    </xdr:sp>
    <xdr:clientData/>
  </xdr:twoCellAnchor>
  <xdr:twoCellAnchor editAs="absolute">
    <xdr:from>
      <xdr:col>0</xdr:col>
      <xdr:colOff>107126</xdr:colOff>
      <xdr:row>6</xdr:row>
      <xdr:rowOff>121735</xdr:rowOff>
    </xdr:from>
    <xdr:to>
      <xdr:col>0</xdr:col>
      <xdr:colOff>1601125</xdr:colOff>
      <xdr:row>8</xdr:row>
      <xdr:rowOff>219739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60F4788F-20F6-466F-899C-61125ABE5DE5}"/>
            </a:ext>
          </a:extLst>
        </xdr:cNvPr>
        <xdr:cNvSpPr/>
      </xdr:nvSpPr>
      <xdr:spPr>
        <a:xfrm>
          <a:off x="107126" y="2121985"/>
          <a:ext cx="1493999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Sistema</a:t>
          </a:r>
        </a:p>
      </xdr:txBody>
    </xdr:sp>
    <xdr:clientData/>
  </xdr:twoCellAnchor>
  <xdr:twoCellAnchor editAs="absolute">
    <xdr:from>
      <xdr:col>0</xdr:col>
      <xdr:colOff>1481751</xdr:colOff>
      <xdr:row>7</xdr:row>
      <xdr:rowOff>83635</xdr:rowOff>
    </xdr:from>
    <xdr:to>
      <xdr:col>0</xdr:col>
      <xdr:colOff>1883848</xdr:colOff>
      <xdr:row>8</xdr:row>
      <xdr:rowOff>147481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74E5F440-DBED-4955-8296-B3388FE81460}"/>
            </a:ext>
          </a:extLst>
        </xdr:cNvPr>
        <xdr:cNvSpPr/>
      </xdr:nvSpPr>
      <xdr:spPr>
        <a:xfrm>
          <a:off x="1481751" y="2331535"/>
          <a:ext cx="402097" cy="31149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v.1</a:t>
          </a:r>
        </a:p>
      </xdr:txBody>
    </xdr:sp>
    <xdr:clientData/>
  </xdr:twoCellAnchor>
  <xdr:twoCellAnchor editAs="oneCell">
    <xdr:from>
      <xdr:col>1</xdr:col>
      <xdr:colOff>89833</xdr:colOff>
      <xdr:row>1</xdr:row>
      <xdr:rowOff>66676</xdr:rowOff>
    </xdr:from>
    <xdr:to>
      <xdr:col>2</xdr:col>
      <xdr:colOff>476251</xdr:colOff>
      <xdr:row>3</xdr:row>
      <xdr:rowOff>196942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70B44963-0020-40BC-AFEC-D1B42887F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7708" y="828676"/>
          <a:ext cx="996018" cy="62556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109036</xdr:colOff>
      <xdr:row>7</xdr:row>
      <xdr:rowOff>169360</xdr:rowOff>
    </xdr:from>
    <xdr:to>
      <xdr:col>0</xdr:col>
      <xdr:colOff>1884971</xdr:colOff>
      <xdr:row>10</xdr:row>
      <xdr:rowOff>82295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E8E897E-C520-4C51-9ABF-1D4DEA374E93}"/>
            </a:ext>
          </a:extLst>
        </xdr:cNvPr>
        <xdr:cNvSpPr/>
      </xdr:nvSpPr>
      <xdr:spPr>
        <a:xfrm>
          <a:off x="109036" y="2417260"/>
          <a:ext cx="177593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VENDAS</a:t>
          </a:r>
        </a:p>
      </xdr:txBody>
    </xdr:sp>
    <xdr:clientData/>
  </xdr:twoCellAnchor>
  <xdr:twoCellAnchor editAs="absolute">
    <xdr:from>
      <xdr:col>1</xdr:col>
      <xdr:colOff>0</xdr:colOff>
      <xdr:row>0</xdr:row>
      <xdr:rowOff>219075</xdr:rowOff>
    </xdr:from>
    <xdr:to>
      <xdr:col>3</xdr:col>
      <xdr:colOff>220800</xdr:colOff>
      <xdr:row>0</xdr:row>
      <xdr:rowOff>759075</xdr:rowOff>
    </xdr:to>
    <xdr:sp macro="" textlink="">
      <xdr:nvSpPr>
        <xdr:cNvPr id="3" name="Retângulo: Cantos Superiore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2C15EE-A141-4C7E-B5AA-61059950C5F4}"/>
            </a:ext>
          </a:extLst>
        </xdr:cNvPr>
        <xdr:cNvSpPr/>
      </xdr:nvSpPr>
      <xdr:spPr>
        <a:xfrm>
          <a:off x="2047875" y="219075"/>
          <a:ext cx="1440000" cy="540000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INÍCIO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0</xdr:colOff>
      <xdr:row>6</xdr:row>
      <xdr:rowOff>180736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646E643A-6D65-4697-9943-E6B62D1EF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7875" cy="2180986"/>
        </a:xfrm>
        <a:prstGeom prst="rect">
          <a:avLst/>
        </a:prstGeom>
      </xdr:spPr>
    </xdr:pic>
    <xdr:clientData/>
  </xdr:twoCellAnchor>
  <xdr:twoCellAnchor editAs="absolute">
    <xdr:from>
      <xdr:col>3</xdr:col>
      <xdr:colOff>295275</xdr:colOff>
      <xdr:row>0</xdr:row>
      <xdr:rowOff>219075</xdr:rowOff>
    </xdr:from>
    <xdr:to>
      <xdr:col>4</xdr:col>
      <xdr:colOff>1039950</xdr:colOff>
      <xdr:row>0</xdr:row>
      <xdr:rowOff>759075</xdr:rowOff>
    </xdr:to>
    <xdr:sp macro="" textlink="">
      <xdr:nvSpPr>
        <xdr:cNvPr id="5" name="Retângulo: Cantos Superiore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B431F5F-7FEA-402A-A11D-48F1B83DBAB8}"/>
            </a:ext>
          </a:extLst>
        </xdr:cNvPr>
        <xdr:cNvSpPr/>
      </xdr:nvSpPr>
      <xdr:spPr>
        <a:xfrm>
          <a:off x="3562350" y="219075"/>
          <a:ext cx="1440000" cy="540000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FORM. VENDA</a:t>
          </a:r>
        </a:p>
      </xdr:txBody>
    </xdr:sp>
    <xdr:clientData/>
  </xdr:twoCellAnchor>
  <xdr:twoCellAnchor editAs="absolute">
    <xdr:from>
      <xdr:col>4</xdr:col>
      <xdr:colOff>1114425</xdr:colOff>
      <xdr:row>0</xdr:row>
      <xdr:rowOff>219075</xdr:rowOff>
    </xdr:from>
    <xdr:to>
      <xdr:col>6</xdr:col>
      <xdr:colOff>554175</xdr:colOff>
      <xdr:row>0</xdr:row>
      <xdr:rowOff>759075</xdr:rowOff>
    </xdr:to>
    <xdr:sp macro="" textlink="">
      <xdr:nvSpPr>
        <xdr:cNvPr id="6" name="Retângulo: Cantos Superiore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0DF203E-64D0-4DF4-901F-9FA3D8B14F2B}"/>
            </a:ext>
          </a:extLst>
        </xdr:cNvPr>
        <xdr:cNvSpPr/>
      </xdr:nvSpPr>
      <xdr:spPr>
        <a:xfrm>
          <a:off x="5076825" y="219075"/>
          <a:ext cx="1440000" cy="540000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FORM. COMPRA</a:t>
          </a:r>
        </a:p>
      </xdr:txBody>
    </xdr:sp>
    <xdr:clientData/>
  </xdr:twoCellAnchor>
  <xdr:twoCellAnchor editAs="absolute">
    <xdr:from>
      <xdr:col>7</xdr:col>
      <xdr:colOff>19050</xdr:colOff>
      <xdr:row>0</xdr:row>
      <xdr:rowOff>219075</xdr:rowOff>
    </xdr:from>
    <xdr:to>
      <xdr:col>9</xdr:col>
      <xdr:colOff>239850</xdr:colOff>
      <xdr:row>0</xdr:row>
      <xdr:rowOff>759075</xdr:rowOff>
    </xdr:to>
    <xdr:sp macro="" textlink="">
      <xdr:nvSpPr>
        <xdr:cNvPr id="7" name="Retângulo: Cantos Superiore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F36D059-3F83-4300-AEA3-E2BA1F80BACF}"/>
            </a:ext>
          </a:extLst>
        </xdr:cNvPr>
        <xdr:cNvSpPr/>
      </xdr:nvSpPr>
      <xdr:spPr>
        <a:xfrm>
          <a:off x="6591300" y="219075"/>
          <a:ext cx="1440000" cy="540000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9</xdr:col>
      <xdr:colOff>314325</xdr:colOff>
      <xdr:row>0</xdr:row>
      <xdr:rowOff>219075</xdr:rowOff>
    </xdr:from>
    <xdr:to>
      <xdr:col>11</xdr:col>
      <xdr:colOff>535125</xdr:colOff>
      <xdr:row>0</xdr:row>
      <xdr:rowOff>759075</xdr:rowOff>
    </xdr:to>
    <xdr:sp macro="" textlink="">
      <xdr:nvSpPr>
        <xdr:cNvPr id="8" name="Retângulo: Cantos Superiores Arredondado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E80B88-C96A-4447-921B-0B43D36326C8}"/>
            </a:ext>
          </a:extLst>
        </xdr:cNvPr>
        <xdr:cNvSpPr/>
      </xdr:nvSpPr>
      <xdr:spPr>
        <a:xfrm>
          <a:off x="8105775" y="219075"/>
          <a:ext cx="1440000" cy="540000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PRODUTOS</a:t>
          </a:r>
        </a:p>
      </xdr:txBody>
    </xdr:sp>
    <xdr:clientData/>
  </xdr:twoCellAnchor>
  <xdr:twoCellAnchor editAs="absolute">
    <xdr:from>
      <xdr:col>12</xdr:col>
      <xdr:colOff>0</xdr:colOff>
      <xdr:row>0</xdr:row>
      <xdr:rowOff>219075</xdr:rowOff>
    </xdr:from>
    <xdr:to>
      <xdr:col>14</xdr:col>
      <xdr:colOff>220800</xdr:colOff>
      <xdr:row>0</xdr:row>
      <xdr:rowOff>759075</xdr:rowOff>
    </xdr:to>
    <xdr:sp macro="" textlink="">
      <xdr:nvSpPr>
        <xdr:cNvPr id="9" name="Retângulo: Cantos Superiores Arredondados 8">
          <a:extLst>
            <a:ext uri="{FF2B5EF4-FFF2-40B4-BE49-F238E27FC236}">
              <a16:creationId xmlns:a16="http://schemas.microsoft.com/office/drawing/2014/main" id="{A6E0F34C-0CCA-444F-B292-322DC2A494FA}"/>
            </a:ext>
          </a:extLst>
        </xdr:cNvPr>
        <xdr:cNvSpPr/>
      </xdr:nvSpPr>
      <xdr:spPr>
        <a:xfrm>
          <a:off x="9620250" y="219075"/>
          <a:ext cx="1440000" cy="540000"/>
        </a:xfrm>
        <a:prstGeom prst="round2Same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VENDEDORES</a:t>
          </a:r>
        </a:p>
      </xdr:txBody>
    </xdr:sp>
    <xdr:clientData/>
  </xdr:twoCellAnchor>
  <xdr:twoCellAnchor editAs="absolute">
    <xdr:from>
      <xdr:col>0</xdr:col>
      <xdr:colOff>107126</xdr:colOff>
      <xdr:row>6</xdr:row>
      <xdr:rowOff>121735</xdr:rowOff>
    </xdr:from>
    <xdr:to>
      <xdr:col>0</xdr:col>
      <xdr:colOff>1601125</xdr:colOff>
      <xdr:row>8</xdr:row>
      <xdr:rowOff>219739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14CFE0E2-C54B-4B4A-839D-F88E41F3EAF1}"/>
            </a:ext>
          </a:extLst>
        </xdr:cNvPr>
        <xdr:cNvSpPr/>
      </xdr:nvSpPr>
      <xdr:spPr>
        <a:xfrm>
          <a:off x="107126" y="2121985"/>
          <a:ext cx="1493999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Sistema</a:t>
          </a:r>
        </a:p>
      </xdr:txBody>
    </xdr:sp>
    <xdr:clientData/>
  </xdr:twoCellAnchor>
  <xdr:twoCellAnchor editAs="absolute">
    <xdr:from>
      <xdr:col>0</xdr:col>
      <xdr:colOff>1481751</xdr:colOff>
      <xdr:row>7</xdr:row>
      <xdr:rowOff>83635</xdr:rowOff>
    </xdr:from>
    <xdr:to>
      <xdr:col>0</xdr:col>
      <xdr:colOff>1883848</xdr:colOff>
      <xdr:row>8</xdr:row>
      <xdr:rowOff>147481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E688B502-BFCA-4853-B51B-4003D456AA67}"/>
            </a:ext>
          </a:extLst>
        </xdr:cNvPr>
        <xdr:cNvSpPr/>
      </xdr:nvSpPr>
      <xdr:spPr>
        <a:xfrm>
          <a:off x="1481751" y="2331535"/>
          <a:ext cx="402097" cy="31149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v.1</a:t>
          </a:r>
        </a:p>
      </xdr:txBody>
    </xdr:sp>
    <xdr:clientData/>
  </xdr:twoCellAnchor>
  <xdr:twoCellAnchor editAs="oneCell">
    <xdr:from>
      <xdr:col>1</xdr:col>
      <xdr:colOff>85725</xdr:colOff>
      <xdr:row>1</xdr:row>
      <xdr:rowOff>104775</xdr:rowOff>
    </xdr:from>
    <xdr:to>
      <xdr:col>2</xdr:col>
      <xdr:colOff>511135</xdr:colOff>
      <xdr:row>5</xdr:row>
      <xdr:rowOff>152400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CE90EE9E-9DF3-4EAE-9E04-E41E46CA2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0" y="866775"/>
          <a:ext cx="1035010" cy="1038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D3DE-4420-48F2-ADC3-0F5FCE81E2B0}">
  <sheetPr codeName="Planilha1"/>
  <dimension ref="A1"/>
  <sheetViews>
    <sheetView showGridLines="0" showRowColHeaders="0" tabSelected="1" workbookViewId="0">
      <selection activeCell="D5" sqref="D5"/>
    </sheetView>
  </sheetViews>
  <sheetFormatPr defaultRowHeight="20.100000000000001" customHeight="1" x14ac:dyDescent="0.25"/>
  <cols>
    <col min="1" max="1" width="30.7109375" style="2" customWidth="1"/>
    <col min="2" max="16384" width="9.140625" style="1"/>
  </cols>
  <sheetData>
    <row r="1" s="2" customFormat="1" ht="60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33077-158A-4339-81AC-4A3FC483B3A9}">
  <sheetPr codeName="Planilha2"/>
  <dimension ref="A1:L23"/>
  <sheetViews>
    <sheetView showGridLines="0" showRowColHeaders="0" zoomScaleNormal="100" workbookViewId="0">
      <selection activeCell="D5" sqref="D5"/>
    </sheetView>
  </sheetViews>
  <sheetFormatPr defaultRowHeight="20.100000000000001" customHeight="1" x14ac:dyDescent="0.25"/>
  <cols>
    <col min="1" max="1" width="30.7109375" style="2" customWidth="1"/>
    <col min="2" max="2" width="9.140625" style="1"/>
    <col min="3" max="3" width="19" style="1" customWidth="1"/>
    <col min="4" max="4" width="23.7109375" style="1" customWidth="1"/>
    <col min="5" max="6" width="9.140625" style="1"/>
    <col min="7" max="7" width="16.85546875" style="1" customWidth="1"/>
    <col min="8" max="8" width="9.140625" style="1"/>
    <col min="9" max="9" width="18.28515625" style="1" customWidth="1"/>
    <col min="10" max="10" width="11.7109375" style="1" bestFit="1" customWidth="1"/>
    <col min="11" max="16384" width="9.140625" style="1"/>
  </cols>
  <sheetData>
    <row r="1" spans="3:7" s="2" customFormat="1" ht="60" customHeight="1" x14ac:dyDescent="0.25"/>
    <row r="5" spans="3:7" ht="20.100000000000001" customHeight="1" x14ac:dyDescent="0.25">
      <c r="C5" s="12" t="s">
        <v>13</v>
      </c>
      <c r="D5" s="15">
        <f ca="1">TODAY()</f>
        <v>44086</v>
      </c>
    </row>
    <row r="6" spans="3:7" ht="6" customHeight="1" x14ac:dyDescent="0.25">
      <c r="C6" s="12"/>
      <c r="D6" s="11"/>
    </row>
    <row r="7" spans="3:7" ht="20.100000000000001" customHeight="1" x14ac:dyDescent="0.25">
      <c r="C7" s="12" t="s">
        <v>14</v>
      </c>
      <c r="D7" s="16">
        <v>102</v>
      </c>
      <c r="E7" s="1" t="s">
        <v>18</v>
      </c>
    </row>
    <row r="8" spans="3:7" ht="6" customHeight="1" x14ac:dyDescent="0.25">
      <c r="C8" s="12"/>
      <c r="D8" s="11"/>
    </row>
    <row r="9" spans="3:7" ht="20.100000000000001" customHeight="1" x14ac:dyDescent="0.25">
      <c r="C9" s="12" t="s">
        <v>15</v>
      </c>
      <c r="D9" s="17" t="str">
        <f>IFERROR(VLOOKUP(D7,VENDEDORES_TABELA,2,0),"")</f>
        <v>EUGÊNIO MÁRCIO</v>
      </c>
      <c r="E9" s="1" t="s">
        <v>19</v>
      </c>
    </row>
    <row r="10" spans="3:7" ht="6" customHeight="1" x14ac:dyDescent="0.25">
      <c r="C10" s="12"/>
      <c r="D10" s="11"/>
    </row>
    <row r="11" spans="3:7" ht="20.100000000000001" customHeight="1" x14ac:dyDescent="0.25">
      <c r="C11" s="12" t="s">
        <v>16</v>
      </c>
      <c r="D11" s="16"/>
      <c r="E11" s="1" t="s">
        <v>18</v>
      </c>
      <c r="G11" s="14" t="s">
        <v>29</v>
      </c>
    </row>
    <row r="12" spans="3:7" ht="6" customHeight="1" x14ac:dyDescent="0.25">
      <c r="C12" s="12"/>
      <c r="D12" s="11"/>
    </row>
    <row r="13" spans="3:7" ht="20.100000000000001" customHeight="1" x14ac:dyDescent="0.25">
      <c r="C13" s="12" t="s">
        <v>6</v>
      </c>
      <c r="D13" s="17" t="str">
        <f>IFERROR(VLOOKUP(D11,CARROS_TABELA,2,0),"")</f>
        <v/>
      </c>
      <c r="E13" s="1" t="s">
        <v>19</v>
      </c>
    </row>
    <row r="14" spans="3:7" ht="6" customHeight="1" x14ac:dyDescent="0.25">
      <c r="C14" s="12"/>
      <c r="D14" s="11"/>
    </row>
    <row r="15" spans="3:7" ht="20.100000000000001" customHeight="1" x14ac:dyDescent="0.25">
      <c r="C15" s="12" t="s">
        <v>7</v>
      </c>
      <c r="D15" s="18" t="str">
        <f>IFERROR(VLOOKUP(D11,CARROS_TABELA,3,0),"")</f>
        <v/>
      </c>
      <c r="E15" s="1" t="s">
        <v>19</v>
      </c>
    </row>
    <row r="16" spans="3:7" ht="6" customHeight="1" x14ac:dyDescent="0.25">
      <c r="C16" s="12"/>
      <c r="D16" s="11"/>
    </row>
    <row r="17" spans="3:12" ht="20.100000000000001" customHeight="1" x14ac:dyDescent="0.25">
      <c r="C17" s="12" t="s">
        <v>17</v>
      </c>
      <c r="D17" s="16"/>
      <c r="E17" s="1" t="s">
        <v>20</v>
      </c>
    </row>
    <row r="22" spans="3:12" ht="20.100000000000001" hidden="1" customHeight="1" x14ac:dyDescent="0.25">
      <c r="C22" s="1" t="s">
        <v>13</v>
      </c>
      <c r="D22" s="1" t="s">
        <v>21</v>
      </c>
      <c r="E22" s="1" t="s">
        <v>22</v>
      </c>
      <c r="F22" s="1" t="s">
        <v>23</v>
      </c>
      <c r="G22" s="1" t="s">
        <v>15</v>
      </c>
      <c r="H22" s="1" t="s">
        <v>24</v>
      </c>
      <c r="I22" s="1" t="s">
        <v>25</v>
      </c>
      <c r="J22" s="1" t="s">
        <v>7</v>
      </c>
      <c r="K22" s="1" t="s">
        <v>26</v>
      </c>
      <c r="L22" s="1" t="s">
        <v>27</v>
      </c>
    </row>
    <row r="23" spans="3:12" ht="20.100000000000001" hidden="1" customHeight="1" x14ac:dyDescent="0.25">
      <c r="C23" s="13">
        <f ca="1">D5</f>
        <v>44086</v>
      </c>
      <c r="D23" s="7">
        <f ca="1">MONTH(C23)</f>
        <v>9</v>
      </c>
      <c r="E23" s="7">
        <f ca="1">YEAR(C23)</f>
        <v>2020</v>
      </c>
      <c r="F23" s="7">
        <f>D7</f>
        <v>102</v>
      </c>
      <c r="G23" s="7" t="str">
        <f>D9</f>
        <v>EUGÊNIO MÁRCIO</v>
      </c>
      <c r="H23" s="7">
        <f>D11</f>
        <v>0</v>
      </c>
      <c r="I23" s="7" t="str">
        <f>D13</f>
        <v/>
      </c>
      <c r="J23" s="5" t="str">
        <f>D15</f>
        <v/>
      </c>
      <c r="K23" s="7">
        <f>D17</f>
        <v>0</v>
      </c>
      <c r="L23" s="7" t="s">
        <v>28</v>
      </c>
    </row>
  </sheetData>
  <sheetProtection sheet="1" objects="1" scenarios="1" selectLockedCells="1"/>
  <dataValidations count="2">
    <dataValidation type="list" allowBlank="1" showInputMessage="1" showErrorMessage="1" sqref="D7" xr:uid="{E81B40F5-818B-45F4-B368-1CA30AD1501A}">
      <formula1>VENDEDORES_MATRÍCULA</formula1>
    </dataValidation>
    <dataValidation type="list" allowBlank="1" showInputMessage="1" showErrorMessage="1" sqref="D11" xr:uid="{9F952159-0D76-471E-91BD-C192C02CE27C}">
      <formula1>CARROS_CÓDIGO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83686-0E67-4259-9119-F55E810D4F8A}">
  <sheetPr codeName="Planilha3"/>
  <dimension ref="B3:K66"/>
  <sheetViews>
    <sheetView workbookViewId="0">
      <selection activeCell="E7" sqref="E7"/>
    </sheetView>
  </sheetViews>
  <sheetFormatPr defaultRowHeight="20.100000000000001" customHeight="1" x14ac:dyDescent="0.25"/>
  <cols>
    <col min="2" max="2" width="15" customWidth="1"/>
    <col min="4" max="4" width="11.28515625" customWidth="1"/>
    <col min="5" max="5" width="18.28515625" customWidth="1"/>
    <col min="6" max="6" width="18.7109375" customWidth="1"/>
    <col min="7" max="7" width="13" customWidth="1"/>
    <col min="8" max="8" width="21" customWidth="1"/>
    <col min="9" max="9" width="18.28515625" customWidth="1"/>
    <col min="10" max="10" width="12.28515625" customWidth="1"/>
    <col min="11" max="11" width="10.85546875" customWidth="1"/>
  </cols>
  <sheetData>
    <row r="3" spans="2:11" ht="20.100000000000001" customHeight="1" x14ac:dyDescent="0.25">
      <c r="B3" s="10" t="s">
        <v>13</v>
      </c>
      <c r="C3" s="10" t="s">
        <v>21</v>
      </c>
      <c r="D3" s="10" t="s">
        <v>22</v>
      </c>
      <c r="E3" s="10" t="s">
        <v>23</v>
      </c>
      <c r="F3" s="10" t="s">
        <v>15</v>
      </c>
      <c r="G3" s="10" t="s">
        <v>24</v>
      </c>
      <c r="H3" s="10" t="s">
        <v>25</v>
      </c>
      <c r="I3" s="10" t="s">
        <v>7</v>
      </c>
      <c r="J3" s="10" t="s">
        <v>26</v>
      </c>
      <c r="K3" s="10" t="s">
        <v>27</v>
      </c>
    </row>
    <row r="4" spans="2:11" ht="20.100000000000001" customHeight="1" x14ac:dyDescent="0.25">
      <c r="B4" s="13">
        <v>43840</v>
      </c>
      <c r="C4" s="7">
        <v>1</v>
      </c>
      <c r="D4" s="7">
        <v>2020</v>
      </c>
      <c r="E4" s="7">
        <v>101</v>
      </c>
      <c r="F4" s="7" t="s">
        <v>11</v>
      </c>
      <c r="G4" s="7">
        <v>10103</v>
      </c>
      <c r="H4" s="7" t="s">
        <v>3</v>
      </c>
      <c r="I4" s="5">
        <v>42200</v>
      </c>
      <c r="J4" s="7">
        <v>6</v>
      </c>
      <c r="K4" s="7" t="s">
        <v>28</v>
      </c>
    </row>
    <row r="5" spans="2:11" ht="20.100000000000001" customHeight="1" x14ac:dyDescent="0.25">
      <c r="B5" s="13">
        <v>43893</v>
      </c>
      <c r="C5" s="7">
        <v>3</v>
      </c>
      <c r="D5" s="7">
        <v>2020</v>
      </c>
      <c r="E5" s="7">
        <v>102</v>
      </c>
      <c r="F5" s="7" t="s">
        <v>12</v>
      </c>
      <c r="G5" s="7">
        <v>10104</v>
      </c>
      <c r="H5" s="7" t="s">
        <v>4</v>
      </c>
      <c r="I5" s="5">
        <v>62500</v>
      </c>
      <c r="J5" s="7">
        <v>17</v>
      </c>
      <c r="K5" s="7" t="s">
        <v>28</v>
      </c>
    </row>
    <row r="6" spans="2:11" ht="20.100000000000001" customHeight="1" x14ac:dyDescent="0.25">
      <c r="B6" s="13">
        <v>43893</v>
      </c>
      <c r="C6" s="7">
        <v>3</v>
      </c>
      <c r="D6" s="7">
        <v>2020</v>
      </c>
      <c r="E6" s="7">
        <v>102</v>
      </c>
      <c r="F6" s="7" t="s">
        <v>12</v>
      </c>
      <c r="G6" s="7">
        <v>10103</v>
      </c>
      <c r="H6" s="7" t="s">
        <v>3</v>
      </c>
      <c r="I6" s="5">
        <v>42200</v>
      </c>
      <c r="J6" s="7">
        <v>14</v>
      </c>
      <c r="K6" s="7" t="s">
        <v>28</v>
      </c>
    </row>
    <row r="7" spans="2:11" ht="20.100000000000001" customHeight="1" x14ac:dyDescent="0.25">
      <c r="B7" s="13">
        <v>43893</v>
      </c>
      <c r="C7" s="7">
        <v>3</v>
      </c>
      <c r="D7" s="7">
        <v>2020</v>
      </c>
      <c r="E7" s="7">
        <v>102</v>
      </c>
      <c r="F7" s="7" t="s">
        <v>12</v>
      </c>
      <c r="G7" s="7">
        <v>10102</v>
      </c>
      <c r="H7" s="7" t="s">
        <v>2</v>
      </c>
      <c r="I7" s="5">
        <v>39500</v>
      </c>
      <c r="J7" s="7">
        <v>33</v>
      </c>
      <c r="K7" s="7" t="s">
        <v>28</v>
      </c>
    </row>
    <row r="8" spans="2:11" ht="20.100000000000001" customHeight="1" x14ac:dyDescent="0.25">
      <c r="B8" s="13">
        <v>43893</v>
      </c>
      <c r="C8" s="7">
        <v>3</v>
      </c>
      <c r="D8" s="7">
        <v>2020</v>
      </c>
      <c r="E8" s="7">
        <v>102</v>
      </c>
      <c r="F8" s="7" t="s">
        <v>12</v>
      </c>
      <c r="G8" s="7">
        <v>10101</v>
      </c>
      <c r="H8" s="7" t="s">
        <v>1</v>
      </c>
      <c r="I8" s="5">
        <v>75000</v>
      </c>
      <c r="J8" s="7">
        <v>14</v>
      </c>
      <c r="K8" s="7" t="s">
        <v>28</v>
      </c>
    </row>
    <row r="9" spans="2:11" ht="20.100000000000001" customHeight="1" x14ac:dyDescent="0.25">
      <c r="B9" s="13">
        <v>43893</v>
      </c>
      <c r="C9" s="7">
        <v>3</v>
      </c>
      <c r="D9" s="7">
        <v>2020</v>
      </c>
      <c r="E9" s="7">
        <v>102</v>
      </c>
      <c r="F9" s="7" t="s">
        <v>12</v>
      </c>
      <c r="G9" s="7">
        <v>10100</v>
      </c>
      <c r="H9" s="7" t="s">
        <v>0</v>
      </c>
      <c r="I9" s="5">
        <v>45000</v>
      </c>
      <c r="J9" s="7">
        <v>21</v>
      </c>
      <c r="K9" s="7" t="s">
        <v>28</v>
      </c>
    </row>
    <row r="10" spans="2:11" ht="20.100000000000001" customHeight="1" x14ac:dyDescent="0.25">
      <c r="B10" s="13">
        <v>43893</v>
      </c>
      <c r="C10" s="7">
        <v>3</v>
      </c>
      <c r="D10" s="7">
        <v>2020</v>
      </c>
      <c r="E10" s="7">
        <v>102</v>
      </c>
      <c r="F10" s="7" t="s">
        <v>12</v>
      </c>
      <c r="G10" s="7">
        <v>10104</v>
      </c>
      <c r="H10" s="7" t="s">
        <v>4</v>
      </c>
      <c r="I10" s="5">
        <v>62500</v>
      </c>
      <c r="J10" s="7">
        <v>9</v>
      </c>
      <c r="K10" s="7" t="s">
        <v>28</v>
      </c>
    </row>
    <row r="11" spans="2:11" ht="20.100000000000001" customHeight="1" x14ac:dyDescent="0.25">
      <c r="B11" s="13">
        <v>43893</v>
      </c>
      <c r="C11" s="7">
        <v>3</v>
      </c>
      <c r="D11" s="7">
        <v>2020</v>
      </c>
      <c r="E11" s="7">
        <v>102</v>
      </c>
      <c r="F11" s="7" t="s">
        <v>12</v>
      </c>
      <c r="G11" s="7">
        <v>10103</v>
      </c>
      <c r="H11" s="7" t="s">
        <v>3</v>
      </c>
      <c r="I11" s="5">
        <v>42200</v>
      </c>
      <c r="J11" s="7">
        <v>9</v>
      </c>
      <c r="K11" s="7" t="s">
        <v>28</v>
      </c>
    </row>
    <row r="12" spans="2:11" ht="20.100000000000001" customHeight="1" x14ac:dyDescent="0.25">
      <c r="B12" s="13">
        <v>43893</v>
      </c>
      <c r="C12" s="7">
        <v>3</v>
      </c>
      <c r="D12" s="7">
        <v>2020</v>
      </c>
      <c r="E12" s="7">
        <v>102</v>
      </c>
      <c r="F12" s="7" t="s">
        <v>12</v>
      </c>
      <c r="G12" s="7">
        <v>10102</v>
      </c>
      <c r="H12" s="7" t="s">
        <v>2</v>
      </c>
      <c r="I12" s="5">
        <v>39500</v>
      </c>
      <c r="J12" s="7">
        <v>9</v>
      </c>
      <c r="K12" s="7" t="s">
        <v>28</v>
      </c>
    </row>
    <row r="13" spans="2:11" ht="20.100000000000001" customHeight="1" x14ac:dyDescent="0.25">
      <c r="B13" s="13">
        <v>43893</v>
      </c>
      <c r="C13" s="7">
        <v>3</v>
      </c>
      <c r="D13" s="7">
        <v>2020</v>
      </c>
      <c r="E13" s="7">
        <v>102</v>
      </c>
      <c r="F13" s="7" t="s">
        <v>12</v>
      </c>
      <c r="G13" s="7">
        <v>10101</v>
      </c>
      <c r="H13" s="7" t="s">
        <v>1</v>
      </c>
      <c r="I13" s="5">
        <v>75000</v>
      </c>
      <c r="J13" s="7">
        <v>9</v>
      </c>
      <c r="K13" s="7" t="s">
        <v>28</v>
      </c>
    </row>
    <row r="14" spans="2:11" ht="20.100000000000001" customHeight="1" x14ac:dyDescent="0.25">
      <c r="B14" s="13">
        <v>43893</v>
      </c>
      <c r="C14" s="7">
        <v>3</v>
      </c>
      <c r="D14" s="7">
        <v>2020</v>
      </c>
      <c r="E14" s="7">
        <v>102</v>
      </c>
      <c r="F14" s="7" t="s">
        <v>12</v>
      </c>
      <c r="G14" s="7">
        <v>10100</v>
      </c>
      <c r="H14" s="7" t="s">
        <v>0</v>
      </c>
      <c r="I14" s="5">
        <v>45000</v>
      </c>
      <c r="J14" s="7">
        <v>9</v>
      </c>
      <c r="K14" s="7" t="s">
        <v>28</v>
      </c>
    </row>
    <row r="15" spans="2:11" ht="20.100000000000001" customHeight="1" x14ac:dyDescent="0.25">
      <c r="B15" s="13">
        <v>43893</v>
      </c>
      <c r="C15" s="7">
        <v>3</v>
      </c>
      <c r="D15" s="7">
        <v>2020</v>
      </c>
      <c r="E15" s="7">
        <v>101</v>
      </c>
      <c r="F15" s="7" t="s">
        <v>11</v>
      </c>
      <c r="G15" s="7">
        <v>10102</v>
      </c>
      <c r="H15" s="7" t="s">
        <v>2</v>
      </c>
      <c r="I15" s="5">
        <v>39500</v>
      </c>
      <c r="J15" s="7">
        <v>19</v>
      </c>
      <c r="K15" s="7" t="s">
        <v>28</v>
      </c>
    </row>
    <row r="16" spans="2:11" ht="20.100000000000001" customHeight="1" x14ac:dyDescent="0.25">
      <c r="B16" s="13">
        <v>43893</v>
      </c>
      <c r="C16" s="7">
        <v>3</v>
      </c>
      <c r="D16" s="7">
        <v>2020</v>
      </c>
      <c r="E16" s="7">
        <v>101</v>
      </c>
      <c r="F16" s="7" t="s">
        <v>11</v>
      </c>
      <c r="G16" s="7">
        <v>10103</v>
      </c>
      <c r="H16" s="7" t="s">
        <v>3</v>
      </c>
      <c r="I16" s="5">
        <v>42200</v>
      </c>
      <c r="J16" s="7">
        <v>14</v>
      </c>
      <c r="K16" s="7" t="s">
        <v>28</v>
      </c>
    </row>
    <row r="17" spans="2:11" ht="20.100000000000001" customHeight="1" x14ac:dyDescent="0.25">
      <c r="B17" s="13">
        <v>43893</v>
      </c>
      <c r="C17" s="7">
        <v>3</v>
      </c>
      <c r="D17" s="7">
        <v>2020</v>
      </c>
      <c r="E17" s="7">
        <v>101</v>
      </c>
      <c r="F17" s="7" t="s">
        <v>11</v>
      </c>
      <c r="G17" s="7">
        <v>10104</v>
      </c>
      <c r="H17" s="7" t="s">
        <v>4</v>
      </c>
      <c r="I17" s="5">
        <v>62500</v>
      </c>
      <c r="J17" s="7">
        <v>33</v>
      </c>
      <c r="K17" s="7" t="s">
        <v>28</v>
      </c>
    </row>
    <row r="18" spans="2:11" ht="20.100000000000001" customHeight="1" x14ac:dyDescent="0.25">
      <c r="B18" s="13">
        <v>43893</v>
      </c>
      <c r="C18" s="7">
        <v>3</v>
      </c>
      <c r="D18" s="7">
        <v>2020</v>
      </c>
      <c r="E18" s="7">
        <v>101</v>
      </c>
      <c r="F18" s="7" t="s">
        <v>11</v>
      </c>
      <c r="G18" s="7">
        <v>10103</v>
      </c>
      <c r="H18" s="7" t="s">
        <v>3</v>
      </c>
      <c r="I18" s="5">
        <v>42200</v>
      </c>
      <c r="J18" s="7">
        <v>16</v>
      </c>
      <c r="K18" s="7" t="s">
        <v>28</v>
      </c>
    </row>
    <row r="19" spans="2:11" ht="20.100000000000001" customHeight="1" x14ac:dyDescent="0.25">
      <c r="B19" s="13">
        <v>43893</v>
      </c>
      <c r="C19" s="7">
        <v>3</v>
      </c>
      <c r="D19" s="7">
        <v>2020</v>
      </c>
      <c r="E19" s="7">
        <v>101</v>
      </c>
      <c r="F19" s="7" t="s">
        <v>11</v>
      </c>
      <c r="G19" s="7">
        <v>10102</v>
      </c>
      <c r="H19" s="7" t="s">
        <v>2</v>
      </c>
      <c r="I19" s="5">
        <v>39500</v>
      </c>
      <c r="J19" s="7">
        <v>13</v>
      </c>
      <c r="K19" s="7" t="s">
        <v>28</v>
      </c>
    </row>
    <row r="20" spans="2:11" ht="20.100000000000001" customHeight="1" x14ac:dyDescent="0.25">
      <c r="B20" s="13">
        <v>43893</v>
      </c>
      <c r="C20" s="7">
        <v>3</v>
      </c>
      <c r="D20" s="7">
        <v>2020</v>
      </c>
      <c r="E20" s="7">
        <v>101</v>
      </c>
      <c r="F20" s="7" t="s">
        <v>11</v>
      </c>
      <c r="G20" s="7">
        <v>10102</v>
      </c>
      <c r="H20" s="7" t="s">
        <v>2</v>
      </c>
      <c r="I20" s="5">
        <v>39500</v>
      </c>
      <c r="J20" s="7">
        <v>19</v>
      </c>
      <c r="K20" s="7" t="s">
        <v>28</v>
      </c>
    </row>
    <row r="21" spans="2:11" ht="20.100000000000001" customHeight="1" x14ac:dyDescent="0.25">
      <c r="B21" s="13">
        <v>43893</v>
      </c>
      <c r="C21" s="7">
        <v>3</v>
      </c>
      <c r="D21" s="7">
        <v>2020</v>
      </c>
      <c r="E21" s="7">
        <v>101</v>
      </c>
      <c r="F21" s="7" t="s">
        <v>11</v>
      </c>
      <c r="G21" s="7">
        <v>10101</v>
      </c>
      <c r="H21" s="7" t="s">
        <v>1</v>
      </c>
      <c r="I21" s="5">
        <v>75000</v>
      </c>
      <c r="J21" s="7">
        <v>21</v>
      </c>
      <c r="K21" s="7" t="s">
        <v>28</v>
      </c>
    </row>
    <row r="22" spans="2:11" ht="20.100000000000001" customHeight="1" x14ac:dyDescent="0.25">
      <c r="B22" s="13">
        <v>43893</v>
      </c>
      <c r="C22" s="7">
        <v>3</v>
      </c>
      <c r="D22" s="7">
        <v>2020</v>
      </c>
      <c r="E22" s="7">
        <v>101</v>
      </c>
      <c r="F22" s="7" t="s">
        <v>11</v>
      </c>
      <c r="G22" s="7">
        <v>10101</v>
      </c>
      <c r="H22" s="7" t="s">
        <v>1</v>
      </c>
      <c r="I22" s="5">
        <v>75000</v>
      </c>
      <c r="J22" s="7">
        <v>12</v>
      </c>
      <c r="K22" s="7" t="s">
        <v>28</v>
      </c>
    </row>
    <row r="23" spans="2:11" ht="20.100000000000001" customHeight="1" x14ac:dyDescent="0.25">
      <c r="B23" s="13">
        <v>43893</v>
      </c>
      <c r="C23" s="7">
        <v>3</v>
      </c>
      <c r="D23" s="7">
        <v>2020</v>
      </c>
      <c r="E23" s="7">
        <v>101</v>
      </c>
      <c r="F23" s="7" t="s">
        <v>11</v>
      </c>
      <c r="G23" s="7">
        <v>10100</v>
      </c>
      <c r="H23" s="7" t="s">
        <v>0</v>
      </c>
      <c r="I23" s="5">
        <v>45000</v>
      </c>
      <c r="J23" s="7">
        <v>5</v>
      </c>
      <c r="K23" s="7" t="s">
        <v>28</v>
      </c>
    </row>
    <row r="24" spans="2:11" ht="20.100000000000001" customHeight="1" x14ac:dyDescent="0.25">
      <c r="B24" s="13">
        <v>43893</v>
      </c>
      <c r="C24" s="7">
        <v>3</v>
      </c>
      <c r="D24" s="7">
        <v>2020</v>
      </c>
      <c r="E24" s="7">
        <v>101</v>
      </c>
      <c r="F24" s="7" t="s">
        <v>11</v>
      </c>
      <c r="G24" s="7">
        <v>10100</v>
      </c>
      <c r="H24" s="7" t="s">
        <v>0</v>
      </c>
      <c r="I24" s="5">
        <v>45000</v>
      </c>
      <c r="J24" s="7">
        <v>18</v>
      </c>
      <c r="K24" s="7" t="s">
        <v>28</v>
      </c>
    </row>
    <row r="25" spans="2:11" ht="20.100000000000001" customHeight="1" x14ac:dyDescent="0.25">
      <c r="B25" s="13">
        <v>43893</v>
      </c>
      <c r="C25" s="7">
        <v>3</v>
      </c>
      <c r="D25" s="7">
        <v>2020</v>
      </c>
      <c r="E25" s="7">
        <v>100</v>
      </c>
      <c r="F25" s="7" t="s">
        <v>10</v>
      </c>
      <c r="G25" s="7">
        <v>10104</v>
      </c>
      <c r="H25" s="7" t="s">
        <v>4</v>
      </c>
      <c r="I25" s="5">
        <v>62500</v>
      </c>
      <c r="J25" s="7">
        <v>17</v>
      </c>
      <c r="K25" s="7" t="s">
        <v>28</v>
      </c>
    </row>
    <row r="26" spans="2:11" ht="20.100000000000001" customHeight="1" x14ac:dyDescent="0.25">
      <c r="B26" s="13">
        <v>43893</v>
      </c>
      <c r="C26" s="7">
        <v>3</v>
      </c>
      <c r="D26" s="7">
        <v>2020</v>
      </c>
      <c r="E26" s="7">
        <v>100</v>
      </c>
      <c r="F26" s="7" t="s">
        <v>10</v>
      </c>
      <c r="G26" s="7">
        <v>10103</v>
      </c>
      <c r="H26" s="7" t="s">
        <v>3</v>
      </c>
      <c r="I26" s="5">
        <v>42200</v>
      </c>
      <c r="J26" s="7">
        <v>20</v>
      </c>
      <c r="K26" s="7" t="s">
        <v>28</v>
      </c>
    </row>
    <row r="27" spans="2:11" ht="20.100000000000001" customHeight="1" x14ac:dyDescent="0.25">
      <c r="B27" s="13">
        <v>43893</v>
      </c>
      <c r="C27" s="7">
        <v>3</v>
      </c>
      <c r="D27" s="7">
        <v>2020</v>
      </c>
      <c r="E27" s="7">
        <v>100</v>
      </c>
      <c r="F27" s="7" t="s">
        <v>10</v>
      </c>
      <c r="G27" s="7">
        <v>10103</v>
      </c>
      <c r="H27" s="7" t="s">
        <v>3</v>
      </c>
      <c r="I27" s="5">
        <v>42200</v>
      </c>
      <c r="J27" s="7">
        <v>11</v>
      </c>
      <c r="K27" s="7" t="s">
        <v>28</v>
      </c>
    </row>
    <row r="28" spans="2:11" ht="20.100000000000001" customHeight="1" x14ac:dyDescent="0.25">
      <c r="B28" s="13">
        <v>43893</v>
      </c>
      <c r="C28" s="7">
        <v>3</v>
      </c>
      <c r="D28" s="7">
        <v>2020</v>
      </c>
      <c r="E28" s="7">
        <v>100</v>
      </c>
      <c r="F28" s="7" t="s">
        <v>10</v>
      </c>
      <c r="G28" s="7">
        <v>10103</v>
      </c>
      <c r="H28" s="7" t="s">
        <v>3</v>
      </c>
      <c r="I28" s="5">
        <v>42200</v>
      </c>
      <c r="J28" s="7">
        <v>16</v>
      </c>
      <c r="K28" s="7" t="s">
        <v>28</v>
      </c>
    </row>
    <row r="29" spans="2:11" ht="20.100000000000001" customHeight="1" x14ac:dyDescent="0.25">
      <c r="B29" s="13">
        <v>43893</v>
      </c>
      <c r="C29" s="7">
        <v>3</v>
      </c>
      <c r="D29" s="7">
        <v>2020</v>
      </c>
      <c r="E29" s="7">
        <v>100</v>
      </c>
      <c r="F29" s="7" t="s">
        <v>10</v>
      </c>
      <c r="G29" s="7">
        <v>10103</v>
      </c>
      <c r="H29" s="7" t="s">
        <v>3</v>
      </c>
      <c r="I29" s="5">
        <v>42200</v>
      </c>
      <c r="J29" s="7">
        <v>18</v>
      </c>
      <c r="K29" s="7" t="s">
        <v>28</v>
      </c>
    </row>
    <row r="30" spans="2:11" ht="20.100000000000001" customHeight="1" x14ac:dyDescent="0.25">
      <c r="B30" s="13">
        <v>43893</v>
      </c>
      <c r="C30" s="7">
        <v>3</v>
      </c>
      <c r="D30" s="7">
        <v>2020</v>
      </c>
      <c r="E30" s="7">
        <v>100</v>
      </c>
      <c r="F30" s="7" t="s">
        <v>10</v>
      </c>
      <c r="G30" s="7">
        <v>10101</v>
      </c>
      <c r="H30" s="7" t="s">
        <v>1</v>
      </c>
      <c r="I30" s="5">
        <v>75000</v>
      </c>
      <c r="J30" s="7">
        <v>15</v>
      </c>
      <c r="K30" s="7" t="s">
        <v>28</v>
      </c>
    </row>
    <row r="31" spans="2:11" ht="20.100000000000001" customHeight="1" x14ac:dyDescent="0.25">
      <c r="B31" s="13">
        <v>43893</v>
      </c>
      <c r="C31" s="7">
        <v>3</v>
      </c>
      <c r="D31" s="7">
        <v>2020</v>
      </c>
      <c r="E31" s="7">
        <v>100</v>
      </c>
      <c r="F31" s="7" t="s">
        <v>10</v>
      </c>
      <c r="G31" s="7">
        <v>10100</v>
      </c>
      <c r="H31" s="7" t="s">
        <v>0</v>
      </c>
      <c r="I31" s="5">
        <v>45000</v>
      </c>
      <c r="J31" s="7">
        <v>16</v>
      </c>
      <c r="K31" s="7" t="s">
        <v>28</v>
      </c>
    </row>
    <row r="32" spans="2:11" ht="20.100000000000001" customHeight="1" x14ac:dyDescent="0.25">
      <c r="B32" s="13">
        <v>43893</v>
      </c>
      <c r="C32" s="7">
        <v>3</v>
      </c>
      <c r="D32" s="7">
        <v>2020</v>
      </c>
      <c r="E32" s="7">
        <v>100</v>
      </c>
      <c r="F32" s="7" t="s">
        <v>10</v>
      </c>
      <c r="G32" s="7">
        <v>10100</v>
      </c>
      <c r="H32" s="7" t="s">
        <v>0</v>
      </c>
      <c r="I32" s="5">
        <v>45000</v>
      </c>
      <c r="J32" s="7">
        <v>6</v>
      </c>
      <c r="K32" s="7" t="s">
        <v>28</v>
      </c>
    </row>
    <row r="33" spans="2:11" ht="20.100000000000001" customHeight="1" x14ac:dyDescent="0.25">
      <c r="B33" s="13">
        <v>43840</v>
      </c>
      <c r="C33" s="7">
        <v>1</v>
      </c>
      <c r="D33" s="7">
        <v>2020</v>
      </c>
      <c r="E33" s="7">
        <v>101</v>
      </c>
      <c r="F33" s="7" t="s">
        <v>11</v>
      </c>
      <c r="G33" s="7">
        <v>10102</v>
      </c>
      <c r="H33" s="7" t="s">
        <v>2</v>
      </c>
      <c r="I33" s="5">
        <v>39500</v>
      </c>
      <c r="J33" s="7">
        <v>3</v>
      </c>
      <c r="K33" s="7" t="s">
        <v>28</v>
      </c>
    </row>
    <row r="34" spans="2:11" ht="20.100000000000001" customHeight="1" x14ac:dyDescent="0.25">
      <c r="B34" s="13">
        <v>43840</v>
      </c>
      <c r="C34" s="7">
        <v>1</v>
      </c>
      <c r="D34" s="7">
        <v>2020</v>
      </c>
      <c r="E34" s="7">
        <v>102</v>
      </c>
      <c r="F34" s="7" t="s">
        <v>12</v>
      </c>
      <c r="G34" s="7">
        <v>10104</v>
      </c>
      <c r="H34" s="7" t="s">
        <v>4</v>
      </c>
      <c r="I34" s="5">
        <v>62500</v>
      </c>
      <c r="J34" s="7">
        <v>11</v>
      </c>
      <c r="K34" s="7" t="s">
        <v>28</v>
      </c>
    </row>
    <row r="35" spans="2:11" ht="20.100000000000001" customHeight="1" x14ac:dyDescent="0.25">
      <c r="B35" s="13">
        <v>43840</v>
      </c>
      <c r="C35" s="7">
        <v>1</v>
      </c>
      <c r="D35" s="7">
        <v>2020</v>
      </c>
      <c r="E35" s="7">
        <v>102</v>
      </c>
      <c r="F35" s="7" t="s">
        <v>12</v>
      </c>
      <c r="G35" s="7">
        <v>10103</v>
      </c>
      <c r="H35" s="7" t="s">
        <v>3</v>
      </c>
      <c r="I35" s="5">
        <v>42200</v>
      </c>
      <c r="J35" s="7">
        <v>20</v>
      </c>
      <c r="K35" s="7" t="s">
        <v>28</v>
      </c>
    </row>
    <row r="36" spans="2:11" ht="20.100000000000001" customHeight="1" x14ac:dyDescent="0.25">
      <c r="B36" s="13">
        <v>43840</v>
      </c>
      <c r="C36" s="7">
        <v>1</v>
      </c>
      <c r="D36" s="7">
        <v>2020</v>
      </c>
      <c r="E36" s="7">
        <v>102</v>
      </c>
      <c r="F36" s="7" t="s">
        <v>12</v>
      </c>
      <c r="G36" s="7">
        <v>10102</v>
      </c>
      <c r="H36" s="7" t="s">
        <v>2</v>
      </c>
      <c r="I36" s="5">
        <v>39500</v>
      </c>
      <c r="J36" s="7">
        <v>5</v>
      </c>
      <c r="K36" s="7" t="s">
        <v>28</v>
      </c>
    </row>
    <row r="37" spans="2:11" ht="20.100000000000001" customHeight="1" x14ac:dyDescent="0.25">
      <c r="B37" s="13">
        <v>43840</v>
      </c>
      <c r="C37" s="7">
        <v>1</v>
      </c>
      <c r="D37" s="7">
        <v>2020</v>
      </c>
      <c r="E37" s="7">
        <v>102</v>
      </c>
      <c r="F37" s="7" t="s">
        <v>12</v>
      </c>
      <c r="G37" s="7">
        <v>10102</v>
      </c>
      <c r="H37" s="7" t="s">
        <v>2</v>
      </c>
      <c r="I37" s="5">
        <v>39500</v>
      </c>
      <c r="J37" s="7">
        <v>10</v>
      </c>
      <c r="K37" s="7" t="s">
        <v>28</v>
      </c>
    </row>
    <row r="38" spans="2:11" ht="20.100000000000001" customHeight="1" x14ac:dyDescent="0.25">
      <c r="B38" s="13">
        <v>43840</v>
      </c>
      <c r="C38" s="7">
        <v>1</v>
      </c>
      <c r="D38" s="7">
        <v>2020</v>
      </c>
      <c r="E38" s="7">
        <v>102</v>
      </c>
      <c r="F38" s="7" t="s">
        <v>12</v>
      </c>
      <c r="G38" s="7">
        <v>10100</v>
      </c>
      <c r="H38" s="7" t="s">
        <v>0</v>
      </c>
      <c r="I38" s="5">
        <v>45000</v>
      </c>
      <c r="J38" s="7">
        <v>10</v>
      </c>
      <c r="K38" s="7" t="s">
        <v>28</v>
      </c>
    </row>
    <row r="39" spans="2:11" ht="20.100000000000001" customHeight="1" x14ac:dyDescent="0.25">
      <c r="B39" s="13">
        <v>43840</v>
      </c>
      <c r="C39" s="7">
        <v>1</v>
      </c>
      <c r="D39" s="7">
        <v>2020</v>
      </c>
      <c r="E39" s="7">
        <v>102</v>
      </c>
      <c r="F39" s="7" t="s">
        <v>12</v>
      </c>
      <c r="G39" s="7">
        <v>10101</v>
      </c>
      <c r="H39" s="7" t="s">
        <v>1</v>
      </c>
      <c r="I39" s="5">
        <v>75000</v>
      </c>
      <c r="J39" s="7">
        <v>15</v>
      </c>
      <c r="K39" s="7" t="s">
        <v>28</v>
      </c>
    </row>
    <row r="40" spans="2:11" ht="20.100000000000001" customHeight="1" x14ac:dyDescent="0.25">
      <c r="B40" s="13">
        <v>43840</v>
      </c>
      <c r="C40" s="7">
        <v>1</v>
      </c>
      <c r="D40" s="7">
        <v>2020</v>
      </c>
      <c r="E40" s="7">
        <v>102</v>
      </c>
      <c r="F40" s="7" t="s">
        <v>12</v>
      </c>
      <c r="G40" s="7">
        <v>10100</v>
      </c>
      <c r="H40" s="7" t="s">
        <v>0</v>
      </c>
      <c r="I40" s="5">
        <v>45000</v>
      </c>
      <c r="J40" s="7">
        <v>10</v>
      </c>
      <c r="K40" s="7" t="s">
        <v>28</v>
      </c>
    </row>
    <row r="41" spans="2:11" ht="20.100000000000001" customHeight="1" x14ac:dyDescent="0.25">
      <c r="B41" s="13">
        <v>43840</v>
      </c>
      <c r="C41" s="7">
        <v>1</v>
      </c>
      <c r="D41" s="7">
        <v>2020</v>
      </c>
      <c r="E41" s="7">
        <v>101</v>
      </c>
      <c r="F41" s="7" t="s">
        <v>11</v>
      </c>
      <c r="G41" s="7">
        <v>10102</v>
      </c>
      <c r="H41" s="7" t="s">
        <v>2</v>
      </c>
      <c r="I41" s="5">
        <v>39500</v>
      </c>
      <c r="J41" s="7">
        <v>25</v>
      </c>
      <c r="K41" s="7" t="s">
        <v>28</v>
      </c>
    </row>
    <row r="42" spans="2:11" ht="20.100000000000001" customHeight="1" x14ac:dyDescent="0.25">
      <c r="B42" s="13">
        <v>43840</v>
      </c>
      <c r="C42" s="7">
        <v>1</v>
      </c>
      <c r="D42" s="7">
        <v>2020</v>
      </c>
      <c r="E42" s="7">
        <v>101</v>
      </c>
      <c r="F42" s="7" t="s">
        <v>11</v>
      </c>
      <c r="G42" s="7">
        <v>10104</v>
      </c>
      <c r="H42" s="7" t="s">
        <v>4</v>
      </c>
      <c r="I42" s="5">
        <v>62500</v>
      </c>
      <c r="J42" s="7">
        <v>10</v>
      </c>
      <c r="K42" s="7" t="s">
        <v>28</v>
      </c>
    </row>
    <row r="43" spans="2:11" ht="20.100000000000001" customHeight="1" x14ac:dyDescent="0.25">
      <c r="B43" s="13">
        <v>43840</v>
      </c>
      <c r="C43" s="7">
        <v>1</v>
      </c>
      <c r="D43" s="7">
        <v>2020</v>
      </c>
      <c r="E43" s="7">
        <v>101</v>
      </c>
      <c r="F43" s="7" t="s">
        <v>11</v>
      </c>
      <c r="G43" s="7">
        <v>10103</v>
      </c>
      <c r="H43" s="7" t="s">
        <v>3</v>
      </c>
      <c r="I43" s="5">
        <v>42200</v>
      </c>
      <c r="J43" s="7">
        <v>0</v>
      </c>
      <c r="K43" s="7" t="s">
        <v>28</v>
      </c>
    </row>
    <row r="44" spans="2:11" ht="20.100000000000001" customHeight="1" x14ac:dyDescent="0.25">
      <c r="B44" s="13">
        <v>43840</v>
      </c>
      <c r="C44" s="7">
        <v>1</v>
      </c>
      <c r="D44" s="7">
        <v>2020</v>
      </c>
      <c r="E44" s="7">
        <v>101</v>
      </c>
      <c r="F44" s="7" t="s">
        <v>11</v>
      </c>
      <c r="G44" s="7">
        <v>10103</v>
      </c>
      <c r="H44" s="7" t="s">
        <v>3</v>
      </c>
      <c r="I44" s="5">
        <v>42200</v>
      </c>
      <c r="J44" s="7">
        <v>10</v>
      </c>
      <c r="K44" s="7" t="s">
        <v>28</v>
      </c>
    </row>
    <row r="45" spans="2:11" ht="20.100000000000001" customHeight="1" x14ac:dyDescent="0.25">
      <c r="B45" s="13">
        <v>43840</v>
      </c>
      <c r="C45" s="7">
        <v>1</v>
      </c>
      <c r="D45" s="7">
        <v>2020</v>
      </c>
      <c r="E45" s="7">
        <v>101</v>
      </c>
      <c r="F45" s="7" t="s">
        <v>11</v>
      </c>
      <c r="G45" s="7">
        <v>10101</v>
      </c>
      <c r="H45" s="7" t="s">
        <v>1</v>
      </c>
      <c r="I45" s="5">
        <v>75000</v>
      </c>
      <c r="J45" s="7">
        <v>12</v>
      </c>
      <c r="K45" s="7" t="s">
        <v>28</v>
      </c>
    </row>
    <row r="46" spans="2:11" ht="20.100000000000001" customHeight="1" x14ac:dyDescent="0.25">
      <c r="B46" s="13">
        <v>43840</v>
      </c>
      <c r="C46" s="7">
        <v>1</v>
      </c>
      <c r="D46" s="7">
        <v>2020</v>
      </c>
      <c r="E46" s="7">
        <v>101</v>
      </c>
      <c r="F46" s="7" t="s">
        <v>11</v>
      </c>
      <c r="G46" s="7">
        <v>10100</v>
      </c>
      <c r="H46" s="7" t="s">
        <v>0</v>
      </c>
      <c r="I46" s="5">
        <v>45000</v>
      </c>
      <c r="J46" s="7">
        <v>15</v>
      </c>
      <c r="K46" s="7" t="s">
        <v>28</v>
      </c>
    </row>
    <row r="47" spans="2:11" ht="20.100000000000001" customHeight="1" x14ac:dyDescent="0.25">
      <c r="B47" s="13">
        <v>43840</v>
      </c>
      <c r="C47" s="7">
        <v>1</v>
      </c>
      <c r="D47" s="7">
        <v>2020</v>
      </c>
      <c r="E47" s="7">
        <v>100</v>
      </c>
      <c r="F47" s="7" t="s">
        <v>10</v>
      </c>
      <c r="G47" s="7">
        <v>10102</v>
      </c>
      <c r="H47" s="7" t="s">
        <v>2</v>
      </c>
      <c r="I47" s="5">
        <v>39500</v>
      </c>
      <c r="J47" s="7">
        <v>20</v>
      </c>
      <c r="K47" s="7" t="s">
        <v>28</v>
      </c>
    </row>
    <row r="48" spans="2:11" ht="20.100000000000001" customHeight="1" x14ac:dyDescent="0.25">
      <c r="B48" s="13">
        <v>43840</v>
      </c>
      <c r="C48" s="7">
        <v>1</v>
      </c>
      <c r="D48" s="7">
        <v>2020</v>
      </c>
      <c r="E48" s="7">
        <v>100</v>
      </c>
      <c r="F48" s="7" t="s">
        <v>10</v>
      </c>
      <c r="G48" s="7">
        <v>10103</v>
      </c>
      <c r="H48" s="7" t="s">
        <v>3</v>
      </c>
      <c r="I48" s="5">
        <v>42200</v>
      </c>
      <c r="J48" s="7">
        <v>18</v>
      </c>
      <c r="K48" s="7" t="s">
        <v>28</v>
      </c>
    </row>
    <row r="49" spans="2:11" ht="20.100000000000001" customHeight="1" x14ac:dyDescent="0.25">
      <c r="B49" s="13">
        <v>43840</v>
      </c>
      <c r="C49" s="7">
        <v>1</v>
      </c>
      <c r="D49" s="7">
        <v>2020</v>
      </c>
      <c r="E49" s="7">
        <v>100</v>
      </c>
      <c r="F49" s="7" t="s">
        <v>10</v>
      </c>
      <c r="G49" s="7">
        <v>10103</v>
      </c>
      <c r="H49" s="7" t="s">
        <v>3</v>
      </c>
      <c r="I49" s="5">
        <v>42200</v>
      </c>
      <c r="J49" s="7">
        <v>12</v>
      </c>
      <c r="K49" s="7" t="s">
        <v>28</v>
      </c>
    </row>
    <row r="50" spans="2:11" ht="20.100000000000001" customHeight="1" x14ac:dyDescent="0.25">
      <c r="B50" s="13">
        <v>43840</v>
      </c>
      <c r="C50" s="7">
        <v>1</v>
      </c>
      <c r="D50" s="7">
        <v>2020</v>
      </c>
      <c r="E50" s="7">
        <v>100</v>
      </c>
      <c r="F50" s="7" t="s">
        <v>10</v>
      </c>
      <c r="G50" s="7">
        <v>10103</v>
      </c>
      <c r="H50" s="7" t="s">
        <v>3</v>
      </c>
      <c r="I50" s="5">
        <v>42200</v>
      </c>
      <c r="J50" s="7">
        <v>10</v>
      </c>
      <c r="K50" s="7" t="s">
        <v>28</v>
      </c>
    </row>
    <row r="51" spans="2:11" ht="20.100000000000001" customHeight="1" x14ac:dyDescent="0.25">
      <c r="B51" s="13">
        <v>43840</v>
      </c>
      <c r="C51" s="7">
        <v>1</v>
      </c>
      <c r="D51" s="7">
        <v>2020</v>
      </c>
      <c r="E51" s="7">
        <v>100</v>
      </c>
      <c r="F51" s="7" t="s">
        <v>10</v>
      </c>
      <c r="G51" s="7">
        <v>10102</v>
      </c>
      <c r="H51" s="7" t="s">
        <v>2</v>
      </c>
      <c r="I51" s="5">
        <v>39500</v>
      </c>
      <c r="J51" s="7">
        <v>6</v>
      </c>
      <c r="K51" s="7" t="s">
        <v>28</v>
      </c>
    </row>
    <row r="52" spans="2:11" ht="20.100000000000001" customHeight="1" x14ac:dyDescent="0.25">
      <c r="B52" s="13">
        <v>43840</v>
      </c>
      <c r="C52" s="7">
        <v>1</v>
      </c>
      <c r="D52" s="7">
        <v>2020</v>
      </c>
      <c r="E52" s="7">
        <v>100</v>
      </c>
      <c r="F52" s="7" t="s">
        <v>10</v>
      </c>
      <c r="G52" s="7">
        <v>10101</v>
      </c>
      <c r="H52" s="7" t="s">
        <v>1</v>
      </c>
      <c r="I52" s="5">
        <v>75000</v>
      </c>
      <c r="J52" s="7">
        <v>8</v>
      </c>
      <c r="K52" s="7" t="s">
        <v>28</v>
      </c>
    </row>
    <row r="53" spans="2:11" ht="20.100000000000001" customHeight="1" x14ac:dyDescent="0.25">
      <c r="B53" s="13">
        <v>43840</v>
      </c>
      <c r="C53" s="7">
        <v>1</v>
      </c>
      <c r="D53" s="7">
        <v>2020</v>
      </c>
      <c r="E53" s="7">
        <v>100</v>
      </c>
      <c r="F53" s="7" t="s">
        <v>10</v>
      </c>
      <c r="G53" s="7">
        <v>10100</v>
      </c>
      <c r="H53" s="7" t="s">
        <v>0</v>
      </c>
      <c r="I53" s="5">
        <v>45000</v>
      </c>
      <c r="J53" s="7">
        <v>15</v>
      </c>
      <c r="K53" s="7" t="s">
        <v>28</v>
      </c>
    </row>
    <row r="54" spans="2:11" ht="20.100000000000001" customHeight="1" x14ac:dyDescent="0.25">
      <c r="B54" s="13">
        <v>43866</v>
      </c>
      <c r="C54" s="7">
        <v>2</v>
      </c>
      <c r="D54" s="7">
        <v>2020</v>
      </c>
      <c r="E54" s="7">
        <v>102</v>
      </c>
      <c r="F54" s="7" t="s">
        <v>12</v>
      </c>
      <c r="G54" s="7">
        <v>10104</v>
      </c>
      <c r="H54" s="7" t="s">
        <v>4</v>
      </c>
      <c r="I54" s="5">
        <v>62500</v>
      </c>
      <c r="J54" s="7">
        <v>10</v>
      </c>
      <c r="K54" s="7" t="s">
        <v>28</v>
      </c>
    </row>
    <row r="55" spans="2:11" ht="20.100000000000001" customHeight="1" x14ac:dyDescent="0.25">
      <c r="B55" s="13">
        <v>43866</v>
      </c>
      <c r="C55" s="7">
        <v>2</v>
      </c>
      <c r="D55" s="7">
        <v>2020</v>
      </c>
      <c r="E55" s="7">
        <v>102</v>
      </c>
      <c r="F55" s="7" t="s">
        <v>12</v>
      </c>
      <c r="G55" s="7">
        <v>10102</v>
      </c>
      <c r="H55" s="7" t="s">
        <v>2</v>
      </c>
      <c r="I55" s="5">
        <v>39500</v>
      </c>
      <c r="J55" s="7">
        <v>5</v>
      </c>
      <c r="K55" s="7" t="s">
        <v>28</v>
      </c>
    </row>
    <row r="56" spans="2:11" ht="20.100000000000001" customHeight="1" x14ac:dyDescent="0.25">
      <c r="B56" s="13">
        <v>43866</v>
      </c>
      <c r="C56" s="7">
        <v>2</v>
      </c>
      <c r="D56" s="7">
        <v>2020</v>
      </c>
      <c r="E56" s="7">
        <v>102</v>
      </c>
      <c r="F56" s="7" t="s">
        <v>12</v>
      </c>
      <c r="G56" s="7">
        <v>10100</v>
      </c>
      <c r="H56" s="7" t="s">
        <v>0</v>
      </c>
      <c r="I56" s="5">
        <v>45000</v>
      </c>
      <c r="J56" s="7">
        <v>5</v>
      </c>
      <c r="K56" s="7" t="s">
        <v>28</v>
      </c>
    </row>
    <row r="57" spans="2:11" ht="20.100000000000001" customHeight="1" x14ac:dyDescent="0.25">
      <c r="B57" s="13">
        <v>43866</v>
      </c>
      <c r="C57" s="7">
        <v>2</v>
      </c>
      <c r="D57" s="7">
        <v>2020</v>
      </c>
      <c r="E57" s="7">
        <v>101</v>
      </c>
      <c r="F57" s="7" t="s">
        <v>11</v>
      </c>
      <c r="G57" s="7">
        <v>10104</v>
      </c>
      <c r="H57" s="7" t="s">
        <v>4</v>
      </c>
      <c r="I57" s="5">
        <v>62500</v>
      </c>
      <c r="J57" s="7">
        <v>15</v>
      </c>
      <c r="K57" s="7" t="s">
        <v>28</v>
      </c>
    </row>
    <row r="58" spans="2:11" ht="20.100000000000001" customHeight="1" x14ac:dyDescent="0.25">
      <c r="B58" s="13">
        <v>43866</v>
      </c>
      <c r="C58" s="7">
        <v>2</v>
      </c>
      <c r="D58" s="7">
        <v>2020</v>
      </c>
      <c r="E58" s="7">
        <v>101</v>
      </c>
      <c r="F58" s="7" t="s">
        <v>11</v>
      </c>
      <c r="G58" s="7">
        <v>10103</v>
      </c>
      <c r="H58" s="7" t="s">
        <v>3</v>
      </c>
      <c r="I58" s="5">
        <v>42200</v>
      </c>
      <c r="J58" s="7">
        <v>5</v>
      </c>
      <c r="K58" s="7" t="s">
        <v>28</v>
      </c>
    </row>
    <row r="59" spans="2:11" ht="20.100000000000001" customHeight="1" x14ac:dyDescent="0.25">
      <c r="B59" s="13">
        <v>43866</v>
      </c>
      <c r="C59" s="7">
        <v>2</v>
      </c>
      <c r="D59" s="7">
        <v>2020</v>
      </c>
      <c r="E59" s="7">
        <v>101</v>
      </c>
      <c r="F59" s="7" t="s">
        <v>11</v>
      </c>
      <c r="G59" s="7">
        <v>10101</v>
      </c>
      <c r="H59" s="7" t="s">
        <v>1</v>
      </c>
      <c r="I59" s="5">
        <v>75000</v>
      </c>
      <c r="J59" s="7">
        <v>20</v>
      </c>
      <c r="K59" s="7" t="s">
        <v>28</v>
      </c>
    </row>
    <row r="60" spans="2:11" ht="20.100000000000001" customHeight="1" x14ac:dyDescent="0.25">
      <c r="B60" s="13">
        <v>43866</v>
      </c>
      <c r="C60" s="7">
        <v>2</v>
      </c>
      <c r="D60" s="7">
        <v>2020</v>
      </c>
      <c r="E60" s="7">
        <v>101</v>
      </c>
      <c r="F60" s="7" t="s">
        <v>11</v>
      </c>
      <c r="G60" s="7">
        <v>10100</v>
      </c>
      <c r="H60" s="7" t="s">
        <v>0</v>
      </c>
      <c r="I60" s="5">
        <v>45000</v>
      </c>
      <c r="J60" s="7">
        <v>10</v>
      </c>
      <c r="K60" s="7" t="s">
        <v>28</v>
      </c>
    </row>
    <row r="61" spans="2:11" ht="20.100000000000001" customHeight="1" x14ac:dyDescent="0.25">
      <c r="B61" s="13">
        <v>43866</v>
      </c>
      <c r="C61" s="7">
        <v>2</v>
      </c>
      <c r="D61" s="7">
        <v>2020</v>
      </c>
      <c r="E61" s="7">
        <v>100</v>
      </c>
      <c r="F61" s="7" t="s">
        <v>10</v>
      </c>
      <c r="G61" s="7">
        <v>10102</v>
      </c>
      <c r="H61" s="7" t="s">
        <v>2</v>
      </c>
      <c r="I61" s="5">
        <v>39500</v>
      </c>
      <c r="J61" s="7">
        <v>10</v>
      </c>
      <c r="K61" s="7" t="s">
        <v>28</v>
      </c>
    </row>
    <row r="62" spans="2:11" ht="20.100000000000001" customHeight="1" x14ac:dyDescent="0.25">
      <c r="B62" s="13">
        <v>43866</v>
      </c>
      <c r="C62" s="7">
        <v>2</v>
      </c>
      <c r="D62" s="7">
        <v>2020</v>
      </c>
      <c r="E62" s="7">
        <v>100</v>
      </c>
      <c r="F62" s="7" t="s">
        <v>10</v>
      </c>
      <c r="G62" s="7">
        <v>10104</v>
      </c>
      <c r="H62" s="7" t="s">
        <v>4</v>
      </c>
      <c r="I62" s="5">
        <v>62500</v>
      </c>
      <c r="J62" s="7">
        <v>10</v>
      </c>
      <c r="K62" s="7" t="s">
        <v>28</v>
      </c>
    </row>
    <row r="63" spans="2:11" ht="20.100000000000001" customHeight="1" x14ac:dyDescent="0.25">
      <c r="B63" s="13">
        <v>43866</v>
      </c>
      <c r="C63" s="7">
        <v>2</v>
      </c>
      <c r="D63" s="7">
        <v>2020</v>
      </c>
      <c r="E63" s="7">
        <v>100</v>
      </c>
      <c r="F63" s="7" t="s">
        <v>10</v>
      </c>
      <c r="G63" s="7">
        <v>10103</v>
      </c>
      <c r="H63" s="7" t="s">
        <v>3</v>
      </c>
      <c r="I63" s="5">
        <v>42200</v>
      </c>
      <c r="J63" s="7">
        <v>20</v>
      </c>
      <c r="K63" s="7" t="s">
        <v>28</v>
      </c>
    </row>
    <row r="64" spans="2:11" ht="20.100000000000001" customHeight="1" x14ac:dyDescent="0.25">
      <c r="B64" s="13">
        <v>43866</v>
      </c>
      <c r="C64" s="7">
        <v>2</v>
      </c>
      <c r="D64" s="7">
        <v>2020</v>
      </c>
      <c r="E64" s="7">
        <v>100</v>
      </c>
      <c r="F64" s="7" t="s">
        <v>10</v>
      </c>
      <c r="G64" s="7">
        <v>10101</v>
      </c>
      <c r="H64" s="7" t="s">
        <v>1</v>
      </c>
      <c r="I64" s="5">
        <v>75000</v>
      </c>
      <c r="J64" s="7">
        <v>10</v>
      </c>
      <c r="K64" s="7" t="s">
        <v>28</v>
      </c>
    </row>
    <row r="65" spans="2:11" ht="20.100000000000001" customHeight="1" x14ac:dyDescent="0.25">
      <c r="B65" s="13">
        <v>43866</v>
      </c>
      <c r="C65" s="7">
        <v>2</v>
      </c>
      <c r="D65" s="7">
        <v>2020</v>
      </c>
      <c r="E65" s="7">
        <v>100</v>
      </c>
      <c r="F65" s="7" t="s">
        <v>10</v>
      </c>
      <c r="G65" s="7">
        <v>10100</v>
      </c>
      <c r="H65" s="7" t="s">
        <v>0</v>
      </c>
      <c r="I65" s="5">
        <v>45000</v>
      </c>
      <c r="J65" s="7">
        <v>10</v>
      </c>
      <c r="K65" s="7" t="s">
        <v>28</v>
      </c>
    </row>
    <row r="66" spans="2:11" ht="20.100000000000001" customHeight="1" x14ac:dyDescent="0.25">
      <c r="B66" s="13">
        <v>43894</v>
      </c>
      <c r="C66" s="7">
        <v>3</v>
      </c>
      <c r="D66" s="7">
        <v>2020</v>
      </c>
      <c r="E66" s="7">
        <v>102</v>
      </c>
      <c r="F66" s="7" t="s">
        <v>12</v>
      </c>
      <c r="G66" s="7">
        <v>10100</v>
      </c>
      <c r="H66" s="7" t="s">
        <v>0</v>
      </c>
      <c r="I66" s="5">
        <v>45000</v>
      </c>
      <c r="J66" s="7">
        <v>2</v>
      </c>
      <c r="K66" s="7" t="s">
        <v>28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FA407-C46A-4C44-940C-5C38B695D32C}">
  <sheetPr codeName="Planilha4"/>
  <dimension ref="A1"/>
  <sheetViews>
    <sheetView showGridLines="0" showRowColHeaders="0" workbookViewId="0">
      <selection activeCell="D5" sqref="D5"/>
    </sheetView>
  </sheetViews>
  <sheetFormatPr defaultRowHeight="20.100000000000001" customHeight="1" x14ac:dyDescent="0.25"/>
  <cols>
    <col min="1" max="1" width="30.7109375" style="2" customWidth="1"/>
    <col min="2" max="16384" width="9.140625" style="1"/>
  </cols>
  <sheetData>
    <row r="1" s="2" customFormat="1" ht="60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25650-024F-4B7E-9301-A1476A5882C1}">
  <sheetPr codeName="Planilha5"/>
  <dimension ref="A1"/>
  <sheetViews>
    <sheetView showGridLines="0" showRowColHeaders="0" workbookViewId="0">
      <selection activeCell="D5" sqref="D5"/>
    </sheetView>
  </sheetViews>
  <sheetFormatPr defaultRowHeight="20.100000000000001" customHeight="1" x14ac:dyDescent="0.25"/>
  <cols>
    <col min="1" max="1" width="30.7109375" style="2" customWidth="1"/>
    <col min="2" max="16384" width="9.140625" style="1"/>
  </cols>
  <sheetData>
    <row r="1" s="2" customFormat="1" ht="60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1B839-B5DA-4365-8BD6-EBE2109BE9D0}">
  <sheetPr codeName="Planilha6"/>
  <dimension ref="A1:F9"/>
  <sheetViews>
    <sheetView showGridLines="0" showRowColHeaders="0" zoomScaleNormal="100" workbookViewId="0">
      <selection activeCell="D5" sqref="D5"/>
    </sheetView>
  </sheetViews>
  <sheetFormatPr defaultRowHeight="20.100000000000001" customHeight="1" x14ac:dyDescent="0.25"/>
  <cols>
    <col min="1" max="1" width="30.7109375" style="2" customWidth="1"/>
    <col min="2" max="3" width="9.140625" style="1"/>
    <col min="4" max="4" width="10" style="1" customWidth="1"/>
    <col min="5" max="5" width="19" style="1" customWidth="1"/>
    <col min="6" max="6" width="17.28515625" style="1" customWidth="1"/>
    <col min="7" max="16384" width="9.140625" style="1"/>
  </cols>
  <sheetData>
    <row r="1" spans="4:6" s="2" customFormat="1" ht="60" customHeight="1" x14ac:dyDescent="0.25"/>
    <row r="4" spans="4:6" ht="20.100000000000001" customHeight="1" x14ac:dyDescent="0.25">
      <c r="D4" s="3" t="s">
        <v>5</v>
      </c>
      <c r="E4" s="3" t="s">
        <v>6</v>
      </c>
      <c r="F4" s="3" t="s">
        <v>7</v>
      </c>
    </row>
    <row r="5" spans="4:6" ht="20.100000000000001" customHeight="1" x14ac:dyDescent="0.25">
      <c r="D5" s="4">
        <v>10100</v>
      </c>
      <c r="E5" s="4" t="s">
        <v>0</v>
      </c>
      <c r="F5" s="5">
        <v>45000</v>
      </c>
    </row>
    <row r="6" spans="4:6" ht="20.100000000000001" customHeight="1" x14ac:dyDescent="0.25">
      <c r="D6" s="4">
        <v>10101</v>
      </c>
      <c r="E6" s="4" t="s">
        <v>1</v>
      </c>
      <c r="F6" s="5">
        <v>75000</v>
      </c>
    </row>
    <row r="7" spans="4:6" ht="20.100000000000001" customHeight="1" x14ac:dyDescent="0.25">
      <c r="D7" s="4">
        <v>10102</v>
      </c>
      <c r="E7" s="4" t="s">
        <v>2</v>
      </c>
      <c r="F7" s="5">
        <v>39500</v>
      </c>
    </row>
    <row r="8" spans="4:6" ht="20.100000000000001" customHeight="1" x14ac:dyDescent="0.25">
      <c r="D8" s="4">
        <v>10103</v>
      </c>
      <c r="E8" s="4" t="s">
        <v>3</v>
      </c>
      <c r="F8" s="5">
        <v>42200</v>
      </c>
    </row>
    <row r="9" spans="4:6" ht="20.100000000000001" customHeight="1" x14ac:dyDescent="0.25">
      <c r="D9" s="4">
        <v>10104</v>
      </c>
      <c r="E9" s="4" t="s">
        <v>4</v>
      </c>
      <c r="F9" s="5">
        <v>62500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F3F43-3D8D-4F3B-81F5-F07D4743DFE6}">
  <sheetPr codeName="Planilha7"/>
  <dimension ref="A1:E7"/>
  <sheetViews>
    <sheetView showGridLines="0" workbookViewId="0">
      <selection activeCell="D5" sqref="D5"/>
    </sheetView>
  </sheetViews>
  <sheetFormatPr defaultRowHeight="20.100000000000001" customHeight="1" x14ac:dyDescent="0.25"/>
  <cols>
    <col min="1" max="1" width="30.7109375" style="2" customWidth="1"/>
    <col min="2" max="3" width="9.140625" style="1"/>
    <col min="4" max="4" width="10.42578125" style="1" customWidth="1"/>
    <col min="5" max="5" width="20.85546875" style="1" customWidth="1"/>
    <col min="6" max="16384" width="9.140625" style="1"/>
  </cols>
  <sheetData>
    <row r="1" spans="4:5" s="2" customFormat="1" ht="60" customHeight="1" x14ac:dyDescent="0.25"/>
    <row r="4" spans="4:5" ht="20.100000000000001" customHeight="1" x14ac:dyDescent="0.25">
      <c r="D4" s="6" t="s">
        <v>8</v>
      </c>
      <c r="E4" s="6" t="s">
        <v>9</v>
      </c>
    </row>
    <row r="5" spans="4:5" ht="20.100000000000001" customHeight="1" x14ac:dyDescent="0.25">
      <c r="D5" s="9">
        <v>100</v>
      </c>
      <c r="E5" s="8" t="s">
        <v>10</v>
      </c>
    </row>
    <row r="6" spans="4:5" ht="20.100000000000001" customHeight="1" x14ac:dyDescent="0.25">
      <c r="D6" s="9">
        <v>101</v>
      </c>
      <c r="E6" s="8" t="s">
        <v>11</v>
      </c>
    </row>
    <row r="7" spans="4:5" ht="20.100000000000001" customHeight="1" x14ac:dyDescent="0.25">
      <c r="D7" s="9">
        <v>102</v>
      </c>
      <c r="E7" s="8" t="s">
        <v>12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4</vt:i4>
      </vt:variant>
    </vt:vector>
  </HeadingPairs>
  <TitlesOfParts>
    <vt:vector size="11" baseType="lpstr">
      <vt:lpstr>início</vt:lpstr>
      <vt:lpstr>form.vendas</vt:lpstr>
      <vt:lpstr>LANÇAMENTOS</vt:lpstr>
      <vt:lpstr>form. compra</vt:lpstr>
      <vt:lpstr>relatórios</vt:lpstr>
      <vt:lpstr>produtos</vt:lpstr>
      <vt:lpstr>vendedores</vt:lpstr>
      <vt:lpstr>CARROS_CÓDIGO</vt:lpstr>
      <vt:lpstr>CARROS_TABELA</vt:lpstr>
      <vt:lpstr>VENDEDORES_MATRÍCULA</vt:lpstr>
      <vt:lpstr>VENDEDORES_TABELA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Professor Eugênio</dc:creator>
  <cp:lastModifiedBy>Professor Eugênio</cp:lastModifiedBy>
  <dcterms:created xsi:type="dcterms:W3CDTF">2020-02-19T23:39:50Z</dcterms:created>
  <dcterms:modified xsi:type="dcterms:W3CDTF">2020-09-12T15:52:46Z</dcterms:modified>
</cp:coreProperties>
</file>