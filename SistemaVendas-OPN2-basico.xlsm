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2019\diversos\atividadesExcel\"/>
    </mc:Choice>
  </mc:AlternateContent>
  <xr:revisionPtr revIDLastSave="0" documentId="8_{AD8D72D6-CA0B-4185-8FF9-B9816B6E156C}" xr6:coauthVersionLast="45" xr6:coauthVersionMax="45" xr10:uidLastSave="{00000000-0000-0000-0000-000000000000}"/>
  <bookViews>
    <workbookView xWindow="-120" yWindow="-120" windowWidth="19440" windowHeight="11160" tabRatio="906" firstSheet="10" activeTab="10" xr2:uid="{E34B1344-08BE-4A6D-9BD1-143BDD89DBC4}"/>
  </bookViews>
  <sheets>
    <sheet name="PÁGINA INICIAL" sheetId="1" r:id="rId1"/>
    <sheet name="PRODUTOS" sheetId="2" r:id="rId2"/>
    <sheet name="PRODUTOS CADASTRO" sheetId="23" r:id="rId3"/>
    <sheet name="TABELADINÂMICA-ANO-MÊS" sheetId="21" r:id="rId4"/>
    <sheet name="TABELA-DINÂMICA-VENDEDOR" sheetId="22" r:id="rId5"/>
    <sheet name="VENDAS_LANÇAMENTOS_TABELA" sheetId="10" r:id="rId6"/>
    <sheet name="SUBTOTAL-VENDAS-VENDEDOR" sheetId="20" r:id="rId7"/>
    <sheet name="SUBTOTAL-VENDAS-MÊS-VENDEDOR" sheetId="19" r:id="rId8"/>
    <sheet name="PRODUTOS_TABELA" sheetId="5" r:id="rId9"/>
    <sheet name="ESTOQUE" sheetId="12" r:id="rId10"/>
    <sheet name="VENDEDORES" sheetId="3" r:id="rId11"/>
    <sheet name="GRÁFICO VENDEDOR" sheetId="15" r:id="rId12"/>
    <sheet name="LANÇAMENTOS" sheetId="8" r:id="rId13"/>
    <sheet name="LANÇAMENTOS_TABELA" sheetId="9" r:id="rId14"/>
    <sheet name="subtotal-produtos-mês" sheetId="18" r:id="rId15"/>
    <sheet name="Subtotal-mês-ano" sheetId="17" r:id="rId16"/>
    <sheet name="MESES_TABELA" sheetId="13" r:id="rId17"/>
    <sheet name="VENDAS" sheetId="4" r:id="rId18"/>
    <sheet name="Planilha1" sheetId="16" r:id="rId19"/>
    <sheet name="VENDEDOR_TABELA" sheetId="6" r:id="rId20"/>
    <sheet name="VENDAS_TABELA" sheetId="7" r:id="rId21"/>
  </sheets>
  <definedNames>
    <definedName name="_xlnm._FilterDatabase" localSheetId="13" hidden="1">LANÇAMENTOS_TABELA!$C$3:$K$82</definedName>
    <definedName name="_xlnm._FilterDatabase" localSheetId="5" hidden="1">VENDAS_LANÇAMENTOS_TABELA!$C$3:$L$47</definedName>
    <definedName name="LANÇAMENTOS_CÓDIGO">LANÇAMENTOS_TABELA!$G$4:$G$82</definedName>
    <definedName name="LANÇAMENTOS_QUANTIDADE">LANÇAMENTOS_TABELA!$J$4:$J$82</definedName>
    <definedName name="LANÇAMENTOS_TABELA">LANÇAMENTOS_TABELA!$C$3:$K$82</definedName>
    <definedName name="LANÇAMENTOS_TIPO">LANÇAMENTOS_TABELA!$F$4:$F$82</definedName>
    <definedName name="LANÇAMENTOS_TOTAL">LANÇAMENTOS_TABELA!$K$4:$K$82</definedName>
    <definedName name="MESES_TABELA">MESES_TABELA!$B$2:$C$14</definedName>
    <definedName name="PRODUTOS_CÓDIGO">PRODUTOS_TABELA!$B$3:$B$10</definedName>
    <definedName name="PRODUTOS_TABELA">PRODUTOS_TABELA!$B$2:$D$10</definedName>
    <definedName name="VENDAS_LANÇAMENTOS_TABELA">VENDAS_LANÇAMENTOS_TABELA!$C$3:$L$47</definedName>
    <definedName name="VENDASLANÇAMENTOS_ANO">VENDAS_LANÇAMENTOS_TABELA!$E$4:$E$47</definedName>
    <definedName name="VENDASLANÇAMENTOS_CÓDIGO">VENDAS_LANÇAMENTOS_TABELA!$H$4:$H$47</definedName>
    <definedName name="VENDASLANÇAMENTOS_MATRICULA">VENDAS_LANÇAMENTOS_TABELA!$F$4:$F$47</definedName>
    <definedName name="VENDASLANÇAMENTOS_MÊS">VENDAS_LANÇAMENTOS_TABELA!$D$4:$D$47</definedName>
    <definedName name="VENDASLANÇAMENTOS_QUANTIDADE">VENDAS_LANÇAMENTOS_TABELA!$K$4:$K$47</definedName>
    <definedName name="VENDASLANÇAMENTOS_TOTAL">VENDAS_LANÇAMENTOS_TABELA!$L$4:$L$47</definedName>
    <definedName name="VENDEDOR_MATRÍCULA">VENDEDOR_TABELA!$B$4:$B$7</definedName>
    <definedName name="VENDEDOR_TABELA">VENDEDOR_TABELA!$B$3:$E$7</definedName>
  </definedNames>
  <calcPr calcId="181029"/>
  <pivotCaches>
    <pivotCache cacheId="0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7" i="12" l="1"/>
  <c r="E8" i="12"/>
  <c r="E9" i="12"/>
  <c r="E10" i="12"/>
  <c r="E11" i="12"/>
  <c r="E12" i="12"/>
  <c r="E13" i="12"/>
  <c r="E6" i="12"/>
  <c r="E26" i="23" l="1"/>
  <c r="C13" i="23"/>
  <c r="C10" i="23"/>
  <c r="F26" i="23" s="1"/>
  <c r="H26" i="23" l="1"/>
  <c r="G26" i="23"/>
  <c r="C16" i="3"/>
  <c r="C13" i="3"/>
  <c r="C10" i="3"/>
  <c r="C13" i="2"/>
  <c r="C10" i="2"/>
  <c r="L41" i="20" l="1"/>
  <c r="K41" i="20"/>
  <c r="L34" i="20"/>
  <c r="K34" i="20"/>
  <c r="L9" i="20"/>
  <c r="K9" i="20"/>
  <c r="L47" i="19"/>
  <c r="K47" i="19"/>
  <c r="L36" i="19"/>
  <c r="K36" i="19"/>
  <c r="L30" i="19"/>
  <c r="K30" i="19"/>
  <c r="L24" i="19"/>
  <c r="K24" i="19"/>
  <c r="L18" i="19"/>
  <c r="K18" i="19"/>
  <c r="L15" i="19"/>
  <c r="K15" i="19"/>
  <c r="L13" i="19"/>
  <c r="K13" i="19"/>
  <c r="L11" i="19"/>
  <c r="K11" i="19"/>
  <c r="L8" i="19"/>
  <c r="K8" i="19"/>
  <c r="K57" i="18"/>
  <c r="J57" i="18"/>
  <c r="K49" i="18"/>
  <c r="J49" i="18"/>
  <c r="K42" i="18"/>
  <c r="J42" i="18"/>
  <c r="K33" i="18"/>
  <c r="J33" i="18"/>
  <c r="K28" i="18"/>
  <c r="J28" i="18"/>
  <c r="K23" i="18"/>
  <c r="J23" i="18"/>
  <c r="K15" i="18"/>
  <c r="J15" i="18"/>
  <c r="K8" i="18"/>
  <c r="J8" i="18"/>
  <c r="K84" i="9"/>
  <c r="J84" i="9"/>
  <c r="J86" i="9"/>
  <c r="K48" i="19" l="1"/>
  <c r="L48" i="19"/>
  <c r="K42" i="20"/>
  <c r="L42" i="20"/>
  <c r="E21" i="3"/>
  <c r="E21" i="2"/>
  <c r="E9" i="15" l="1"/>
  <c r="E10" i="15"/>
  <c r="E11" i="15"/>
  <c r="E12" i="15"/>
  <c r="E13" i="15"/>
  <c r="E14" i="15"/>
  <c r="E15" i="15"/>
  <c r="E16" i="15"/>
  <c r="E17" i="15"/>
  <c r="E18" i="15"/>
  <c r="E19" i="15"/>
  <c r="E8" i="15"/>
  <c r="E4" i="15"/>
  <c r="C7" i="12"/>
  <c r="D7" i="12"/>
  <c r="C8" i="12"/>
  <c r="D8" i="12"/>
  <c r="C9" i="12"/>
  <c r="D9" i="12"/>
  <c r="C10" i="12"/>
  <c r="D10" i="12"/>
  <c r="C11" i="12"/>
  <c r="D11" i="12"/>
  <c r="C12" i="12"/>
  <c r="D12" i="12"/>
  <c r="C13" i="12"/>
  <c r="D13" i="12"/>
  <c r="D6" i="12"/>
  <c r="C6" i="12"/>
  <c r="C20" i="4"/>
  <c r="C17" i="4"/>
  <c r="C37" i="4" l="1"/>
  <c r="C40" i="4" s="1"/>
  <c r="K37" i="4"/>
  <c r="J40" i="4" s="1"/>
  <c r="H37" i="4"/>
  <c r="G40" i="4" s="1"/>
  <c r="F37" i="4"/>
  <c r="F20" i="4"/>
  <c r="E37" i="4" l="1"/>
  <c r="E40" i="4" s="1"/>
  <c r="D37" i="4"/>
  <c r="D40" i="4" s="1"/>
  <c r="I37" i="4"/>
  <c r="H40" i="4" s="1"/>
  <c r="C11" i="4"/>
  <c r="G37" i="4" s="1"/>
  <c r="J37" i="4"/>
  <c r="I40" i="4" l="1"/>
  <c r="L37" i="4"/>
  <c r="K40" i="4" s="1"/>
  <c r="J31" i="8"/>
  <c r="G31" i="8"/>
  <c r="F31" i="8"/>
  <c r="C31" i="8"/>
  <c r="E31" i="8" s="1"/>
  <c r="D31" i="8" l="1"/>
  <c r="C19" i="8"/>
  <c r="I31" i="8" s="1"/>
  <c r="K31" i="8" s="1"/>
  <c r="C15" i="8"/>
  <c r="H31" i="8" s="1"/>
  <c r="F21" i="3" l="1"/>
  <c r="G21" i="3" s="1"/>
  <c r="F21" i="2"/>
  <c r="G21" i="2" l="1"/>
  <c r="H21" i="2"/>
  <c r="H21" i="3"/>
</calcChain>
</file>

<file path=xl/sharedStrings.xml><?xml version="1.0" encoding="utf-8"?>
<sst xmlns="http://schemas.openxmlformats.org/spreadsheetml/2006/main" count="809" uniqueCount="89">
  <si>
    <t>PRODUTOS_TABELA</t>
  </si>
  <si>
    <t>VENDEDOR_TABELA</t>
  </si>
  <si>
    <t>VENDAS_TABELA</t>
  </si>
  <si>
    <t>CÓDIGO</t>
  </si>
  <si>
    <t>PRODUTO</t>
  </si>
  <si>
    <t>VALOR</t>
  </si>
  <si>
    <t xml:space="preserve">COMPUTADOR CORE I5 8GB </t>
  </si>
  <si>
    <t>COMPUTADOR CORE i3 8GB</t>
  </si>
  <si>
    <t>MONITOR LG 19"</t>
  </si>
  <si>
    <t>TECLADO GOLDENTEC ABNT2</t>
  </si>
  <si>
    <t>MOUSE GOLDENTEC</t>
  </si>
  <si>
    <t>NOTEBOOK POSITIVO DUAL CORE 4GB</t>
  </si>
  <si>
    <t xml:space="preserve">TV LED 32" PHILCO </t>
  </si>
  <si>
    <t>COMPUTADOR CORE i8 8GB</t>
  </si>
  <si>
    <t>MATRÍCULA</t>
  </si>
  <si>
    <t>NOME</t>
  </si>
  <si>
    <t>EUGÊNIO MÁRCIO</t>
  </si>
  <si>
    <t>PAULA LINS</t>
  </si>
  <si>
    <t>JOÃO PAULO</t>
  </si>
  <si>
    <t>JOSÉ IÊDO</t>
  </si>
  <si>
    <t>DATA ADMISSÃO</t>
  </si>
  <si>
    <t>VENDEDOR_MATRÍCULA</t>
  </si>
  <si>
    <t>SALÁRIO</t>
  </si>
  <si>
    <t>TIPO</t>
  </si>
  <si>
    <t>ENTRADA</t>
  </si>
  <si>
    <t>QUANTIDADE</t>
  </si>
  <si>
    <t>DATA</t>
  </si>
  <si>
    <t>MÊS</t>
  </si>
  <si>
    <t>ANO</t>
  </si>
  <si>
    <t>TOTAL</t>
  </si>
  <si>
    <t>VENDEDOR</t>
  </si>
  <si>
    <t>CÓDIGO DO PRODUTO</t>
  </si>
  <si>
    <t>NOME DO PRODUTO</t>
  </si>
  <si>
    <t>estoque</t>
  </si>
  <si>
    <t>MATRÍCULA VENDEDOR</t>
  </si>
  <si>
    <t>SAÍDA</t>
  </si>
  <si>
    <t xml:space="preserve"> </t>
  </si>
  <si>
    <t>Data</t>
  </si>
  <si>
    <t>mês</t>
  </si>
  <si>
    <t>ano</t>
  </si>
  <si>
    <t>Matrícula</t>
  </si>
  <si>
    <t>vendedor</t>
  </si>
  <si>
    <t>Código Produto</t>
  </si>
  <si>
    <t>Produto</t>
  </si>
  <si>
    <t>Valor</t>
  </si>
  <si>
    <t>quantidade</t>
  </si>
  <si>
    <t>Total</t>
  </si>
  <si>
    <t>código</t>
  </si>
  <si>
    <t>ESTOQUE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</si>
  <si>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</si>
  <si>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</si>
  <si>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</si>
  <si>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</si>
  <si>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</si>
  <si>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</si>
  <si>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</si>
  <si>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</si>
  <si>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</si>
  <si>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</si>
  <si>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</si>
  <si>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</si>
  <si>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REF</t>
  </si>
  <si>
    <t>Total Geral</t>
  </si>
  <si>
    <t>1 Total</t>
  </si>
  <si>
    <t>2 Total</t>
  </si>
  <si>
    <t>3 Total</t>
  </si>
  <si>
    <t>4 Total</t>
  </si>
  <si>
    <t>5 Total</t>
  </si>
  <si>
    <t>6 Total</t>
  </si>
  <si>
    <t>7 Total</t>
  </si>
  <si>
    <t>8 Total</t>
  </si>
  <si>
    <t>COMPUTADOR CORE i3 8GB Total</t>
  </si>
  <si>
    <t>COMPUTADOR CORE I5 8GB  Total</t>
  </si>
  <si>
    <t>COMPUTADOR CORE i8 8GB Total</t>
  </si>
  <si>
    <t>MONITOR LG 19" Total</t>
  </si>
  <si>
    <t>MOUSE GOLDENTEC Total</t>
  </si>
  <si>
    <t>NOTEBOOK POSITIVO DUAL CORE 4GB Total</t>
  </si>
  <si>
    <t>TECLADO GOLDENTEC ABNT2 Total</t>
  </si>
  <si>
    <t>TV LED 32" PHILCO  Total</t>
  </si>
  <si>
    <t>EUGÊNIO MÁRCIO Total</t>
  </si>
  <si>
    <t>JOÃO PAULO Total</t>
  </si>
  <si>
    <t>PAULA LINS Total</t>
  </si>
  <si>
    <t>(Tudo)</t>
  </si>
  <si>
    <t>Rótulos de Linha</t>
  </si>
  <si>
    <t>Soma de quantidade</t>
  </si>
  <si>
    <t>Soma de Total</t>
  </si>
  <si>
    <t>jan</t>
  </si>
  <si>
    <t>;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</si>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</sst>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R$&quot;* #,##0.00_);_(&quot;R$&quot;* \(#,##0.00\);_(&quot;R$&quot;* &quot;-&quot;??_);_(@_)"/>
    <numFmt numFmtId="165" formatCode="&quot;R$&quot;\ #,##0.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FF0000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FF0000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3" fillId="2" borderId="0" applyNumberFormat="0" applyBorder="0" applyAlignment="0" applyProtection="0"/>
  </cellStyleXfs>
  <cellXfs count="124">
    <xf numFmtId="0" fontId="0" fillId="0" borderId="0" xfId="0"/>
    <xf numFmtId="0" fontId="0" fillId="3" borderId="0" xfId="0" applyFill="1"/>
    <xf numFmtId="0" fontId="0" fillId="0" borderId="7" xfId="0" applyBorder="1"/>
    <xf numFmtId="0" fontId="2" fillId="2" borderId="8" xfId="2" applyFont="1" applyBorder="1" applyAlignment="1">
      <alignment vertical="center"/>
    </xf>
    <xf numFmtId="0" fontId="2" fillId="2" borderId="9" xfId="2" applyFont="1" applyBorder="1" applyAlignment="1">
      <alignment vertical="center"/>
    </xf>
    <xf numFmtId="0" fontId="2" fillId="2" borderId="10" xfId="2" applyFont="1" applyBorder="1" applyAlignment="1">
      <alignment vertical="center"/>
    </xf>
    <xf numFmtId="0" fontId="0" fillId="4" borderId="11" xfId="0" applyFill="1" applyBorder="1" applyAlignment="1">
      <alignment horizontal="center"/>
    </xf>
    <xf numFmtId="164" fontId="0" fillId="0" borderId="12" xfId="0" applyNumberFormat="1" applyBorder="1"/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0" borderId="15" xfId="0" applyBorder="1"/>
    <xf numFmtId="164" fontId="0" fillId="0" borderId="16" xfId="0" applyNumberFormat="1" applyBorder="1"/>
    <xf numFmtId="0" fontId="0" fillId="5" borderId="0" xfId="0" applyFill="1"/>
    <xf numFmtId="0" fontId="6" fillId="5" borderId="0" xfId="0" applyFont="1" applyFill="1"/>
    <xf numFmtId="0" fontId="0" fillId="0" borderId="17" xfId="0" applyBorder="1" applyAlignment="1">
      <alignment horizontal="center"/>
    </xf>
    <xf numFmtId="0" fontId="0" fillId="0" borderId="17" xfId="0" applyBorder="1"/>
    <xf numFmtId="0" fontId="2" fillId="7" borderId="17" xfId="0" applyFont="1" applyFill="1" applyBorder="1" applyAlignment="1">
      <alignment horizontal="center"/>
    </xf>
    <xf numFmtId="0" fontId="2" fillId="7" borderId="17" xfId="0" applyFont="1" applyFill="1" applyBorder="1"/>
    <xf numFmtId="14" fontId="0" fillId="0" borderId="17" xfId="0" applyNumberFormat="1" applyBorder="1" applyAlignment="1">
      <alignment horizontal="center"/>
    </xf>
    <xf numFmtId="165" fontId="0" fillId="0" borderId="17" xfId="0" applyNumberFormat="1" applyBorder="1"/>
    <xf numFmtId="0" fontId="0" fillId="8" borderId="0" xfId="0" applyFill="1"/>
    <xf numFmtId="0" fontId="7" fillId="5" borderId="0" xfId="0" applyFont="1" applyFill="1"/>
    <xf numFmtId="165" fontId="0" fillId="0" borderId="17" xfId="0" applyNumberFormat="1" applyBorder="1" applyAlignment="1">
      <alignment horizontal="center"/>
    </xf>
    <xf numFmtId="165" fontId="0" fillId="0" borderId="17" xfId="0" applyNumberFormat="1" applyBorder="1" applyAlignment="1">
      <alignment horizontal="right"/>
    </xf>
    <xf numFmtId="0" fontId="0" fillId="5" borderId="17" xfId="0" applyFill="1" applyBorder="1"/>
    <xf numFmtId="0" fontId="0" fillId="10" borderId="0" xfId="0" applyFill="1"/>
    <xf numFmtId="0" fontId="9" fillId="10" borderId="0" xfId="0" applyFont="1" applyFill="1"/>
    <xf numFmtId="0" fontId="0" fillId="0" borderId="17" xfId="0" applyBorder="1" applyAlignment="1">
      <alignment horizontal="left" indent="2"/>
    </xf>
    <xf numFmtId="0" fontId="0" fillId="0" borderId="17" xfId="0" applyBorder="1" applyAlignment="1">
      <alignment horizontal="right" indent="2"/>
    </xf>
    <xf numFmtId="0" fontId="10" fillId="10" borderId="0" xfId="0" applyFont="1" applyFill="1"/>
    <xf numFmtId="0" fontId="7" fillId="10" borderId="0" xfId="0" applyFont="1" applyFill="1"/>
    <xf numFmtId="0" fontId="0" fillId="6" borderId="0" xfId="0" applyFill="1"/>
    <xf numFmtId="0" fontId="0" fillId="6" borderId="17" xfId="0" applyFill="1" applyBorder="1"/>
    <xf numFmtId="0" fontId="0" fillId="6" borderId="17" xfId="0" applyFill="1" applyBorder="1" applyAlignment="1">
      <alignment horizontal="center" vertical="center"/>
    </xf>
    <xf numFmtId="0" fontId="0" fillId="6" borderId="17" xfId="0" applyFill="1" applyBorder="1" applyAlignment="1">
      <alignment horizontal="left" vertical="center" indent="1"/>
    </xf>
    <xf numFmtId="0" fontId="2" fillId="2" borderId="17" xfId="2" applyFont="1" applyBorder="1" applyAlignment="1">
      <alignment horizontal="left" vertical="center" indent="1"/>
    </xf>
    <xf numFmtId="0" fontId="2" fillId="2" borderId="17" xfId="2" applyFont="1" applyBorder="1" applyAlignment="1">
      <alignment horizontal="center"/>
    </xf>
    <xf numFmtId="0" fontId="0" fillId="0" borderId="17" xfId="0" applyBorder="1" applyAlignment="1">
      <alignment horizontal="left" indent="1"/>
    </xf>
    <xf numFmtId="0" fontId="2" fillId="2" borderId="17" xfId="2" applyFont="1" applyBorder="1" applyAlignment="1">
      <alignment horizontal="left" indent="1"/>
    </xf>
    <xf numFmtId="0" fontId="0" fillId="0" borderId="0" xfId="0" applyAlignment="1">
      <alignment horizontal="center"/>
    </xf>
    <xf numFmtId="165" fontId="0" fillId="6" borderId="17" xfId="0" applyNumberFormat="1" applyFill="1" applyBorder="1"/>
    <xf numFmtId="0" fontId="8" fillId="3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9" borderId="17" xfId="0" applyFont="1" applyFill="1" applyBorder="1" applyAlignment="1">
      <alignment horizontal="center" vertical="center"/>
    </xf>
    <xf numFmtId="165" fontId="8" fillId="9" borderId="17" xfId="0" applyNumberFormat="1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0" fillId="5" borderId="17" xfId="0" applyFill="1" applyBorder="1" applyAlignment="1">
      <alignment horizontal="center"/>
    </xf>
    <xf numFmtId="0" fontId="5" fillId="9" borderId="17" xfId="0" applyFont="1" applyFill="1" applyBorder="1" applyAlignment="1">
      <alignment horizontal="center" vertical="center"/>
    </xf>
    <xf numFmtId="165" fontId="5" fillId="9" borderId="17" xfId="0" applyNumberFormat="1" applyFont="1" applyFill="1" applyBorder="1" applyAlignment="1">
      <alignment horizontal="center" vertical="center"/>
    </xf>
    <xf numFmtId="0" fontId="7" fillId="0" borderId="17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 applyAlignment="1">
      <alignment horizontal="right"/>
    </xf>
    <xf numFmtId="0" fontId="7" fillId="0" borderId="0" xfId="0" applyFont="1" applyAlignment="1">
      <alignment horizontal="center"/>
    </xf>
    <xf numFmtId="0" fontId="7" fillId="0" borderId="17" xfId="0" applyFont="1" applyBorder="1"/>
    <xf numFmtId="0" fontId="7" fillId="0" borderId="0" xfId="0" applyFont="1"/>
    <xf numFmtId="0" fontId="0" fillId="0" borderId="0" xfId="0" applyAlignment="1">
      <alignment horizontal="left" indent="2"/>
    </xf>
    <xf numFmtId="0" fontId="0" fillId="0" borderId="0" xfId="0" applyAlignment="1">
      <alignment horizontal="right" indent="2"/>
    </xf>
    <xf numFmtId="0" fontId="7" fillId="0" borderId="17" xfId="0" applyFont="1" applyBorder="1" applyAlignment="1">
      <alignment horizontal="left" indent="2"/>
    </xf>
    <xf numFmtId="0" fontId="7" fillId="0" borderId="0" xfId="0" applyFont="1" applyAlignment="1">
      <alignment horizontal="left" indent="2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/>
    </xf>
    <xf numFmtId="0" fontId="4" fillId="6" borderId="1" xfId="0" applyFont="1" applyFill="1" applyBorder="1" applyAlignment="1" applyProtection="1">
      <alignment horizontal="center" vertical="center"/>
      <protection locked="0"/>
    </xf>
    <xf numFmtId="0" fontId="4" fillId="6" borderId="2" xfId="0" applyFont="1" applyFill="1" applyBorder="1" applyAlignment="1" applyProtection="1">
      <alignment horizontal="center" vertical="center"/>
      <protection locked="0"/>
    </xf>
    <xf numFmtId="0" fontId="4" fillId="6" borderId="3" xfId="0" applyFont="1" applyFill="1" applyBorder="1" applyAlignment="1" applyProtection="1">
      <alignment horizontal="center" vertical="center"/>
      <protection locked="0"/>
    </xf>
    <xf numFmtId="0" fontId="4" fillId="6" borderId="4" xfId="0" applyFont="1" applyFill="1" applyBorder="1" applyAlignment="1" applyProtection="1">
      <alignment horizontal="center" vertical="center"/>
      <protection locked="0"/>
    </xf>
    <xf numFmtId="0" fontId="4" fillId="6" borderId="1" xfId="0" applyFont="1" applyFill="1" applyBorder="1" applyAlignment="1" applyProtection="1">
      <alignment horizontal="left" vertical="center" indent="2"/>
      <protection hidden="1"/>
    </xf>
    <xf numFmtId="0" fontId="4" fillId="6" borderId="5" xfId="0" applyFont="1" applyFill="1" applyBorder="1" applyAlignment="1" applyProtection="1">
      <alignment horizontal="left" vertical="center" indent="2"/>
      <protection hidden="1"/>
    </xf>
    <xf numFmtId="0" fontId="4" fillId="6" borderId="2" xfId="0" applyFont="1" applyFill="1" applyBorder="1" applyAlignment="1" applyProtection="1">
      <alignment horizontal="left" vertical="center" indent="2"/>
      <protection hidden="1"/>
    </xf>
    <xf numFmtId="0" fontId="4" fillId="6" borderId="3" xfId="0" applyFont="1" applyFill="1" applyBorder="1" applyAlignment="1" applyProtection="1">
      <alignment horizontal="left" vertical="center" indent="2"/>
      <protection hidden="1"/>
    </xf>
    <xf numFmtId="0" fontId="4" fillId="6" borderId="6" xfId="0" applyFont="1" applyFill="1" applyBorder="1" applyAlignment="1" applyProtection="1">
      <alignment horizontal="left" vertical="center" indent="2"/>
      <protection hidden="1"/>
    </xf>
    <xf numFmtId="0" fontId="4" fillId="6" borderId="4" xfId="0" applyFont="1" applyFill="1" applyBorder="1" applyAlignment="1" applyProtection="1">
      <alignment horizontal="left" vertical="center" indent="2"/>
      <protection hidden="1"/>
    </xf>
    <xf numFmtId="165" fontId="4" fillId="6" borderId="1" xfId="1" applyNumberFormat="1" applyFont="1" applyFill="1" applyBorder="1" applyAlignment="1" applyProtection="1">
      <alignment horizontal="left" vertical="center" indent="2"/>
      <protection hidden="1"/>
    </xf>
    <xf numFmtId="165" fontId="4" fillId="6" borderId="5" xfId="1" applyNumberFormat="1" applyFont="1" applyFill="1" applyBorder="1" applyAlignment="1" applyProtection="1">
      <alignment horizontal="left" vertical="center" indent="2"/>
      <protection hidden="1"/>
    </xf>
    <xf numFmtId="165" fontId="4" fillId="6" borderId="2" xfId="1" applyNumberFormat="1" applyFont="1" applyFill="1" applyBorder="1" applyAlignment="1" applyProtection="1">
      <alignment horizontal="left" vertical="center" indent="2"/>
      <protection hidden="1"/>
    </xf>
    <xf numFmtId="165" fontId="4" fillId="6" borderId="3" xfId="1" applyNumberFormat="1" applyFont="1" applyFill="1" applyBorder="1" applyAlignment="1" applyProtection="1">
      <alignment horizontal="left" vertical="center" indent="2"/>
      <protection hidden="1"/>
    </xf>
    <xf numFmtId="165" fontId="4" fillId="6" borderId="6" xfId="1" applyNumberFormat="1" applyFont="1" applyFill="1" applyBorder="1" applyAlignment="1" applyProtection="1">
      <alignment horizontal="left" vertical="center" indent="2"/>
      <protection hidden="1"/>
    </xf>
    <xf numFmtId="165" fontId="4" fillId="6" borderId="4" xfId="1" applyNumberFormat="1" applyFont="1" applyFill="1" applyBorder="1" applyAlignment="1" applyProtection="1">
      <alignment horizontal="left" vertical="center" indent="2"/>
      <protection hidden="1"/>
    </xf>
    <xf numFmtId="0" fontId="0" fillId="6" borderId="17" xfId="0" applyFill="1" applyBorder="1" applyAlignment="1">
      <alignment horizontal="center" vertical="center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5" fillId="6" borderId="2" xfId="0" applyFont="1" applyFill="1" applyBorder="1" applyAlignment="1" applyProtection="1">
      <alignment horizontal="center" vertical="center"/>
      <protection locked="0"/>
    </xf>
    <xf numFmtId="0" fontId="5" fillId="6" borderId="3" xfId="0" applyFont="1" applyFill="1" applyBorder="1" applyAlignment="1" applyProtection="1">
      <alignment horizontal="center" vertical="center"/>
      <protection locked="0"/>
    </xf>
    <xf numFmtId="0" fontId="5" fillId="6" borderId="4" xfId="0" applyFont="1" applyFill="1" applyBorder="1" applyAlignment="1" applyProtection="1">
      <alignment horizontal="center" vertical="center"/>
      <protection locked="0"/>
    </xf>
    <xf numFmtId="0" fontId="5" fillId="6" borderId="1" xfId="0" applyFont="1" applyFill="1" applyBorder="1" applyAlignment="1" applyProtection="1">
      <alignment horizontal="left" vertical="center" indent="2"/>
      <protection hidden="1"/>
    </xf>
    <xf numFmtId="0" fontId="5" fillId="6" borderId="5" xfId="0" applyFont="1" applyFill="1" applyBorder="1" applyAlignment="1" applyProtection="1">
      <alignment horizontal="left" vertical="center" indent="2"/>
      <protection hidden="1"/>
    </xf>
    <xf numFmtId="0" fontId="5" fillId="6" borderId="2" xfId="0" applyFont="1" applyFill="1" applyBorder="1" applyAlignment="1" applyProtection="1">
      <alignment horizontal="left" vertical="center" indent="2"/>
      <protection hidden="1"/>
    </xf>
    <xf numFmtId="0" fontId="5" fillId="6" borderId="3" xfId="0" applyFont="1" applyFill="1" applyBorder="1" applyAlignment="1" applyProtection="1">
      <alignment horizontal="left" vertical="center" indent="2"/>
      <protection hidden="1"/>
    </xf>
    <xf numFmtId="0" fontId="5" fillId="6" borderId="6" xfId="0" applyFont="1" applyFill="1" applyBorder="1" applyAlignment="1" applyProtection="1">
      <alignment horizontal="left" vertical="center" indent="2"/>
      <protection hidden="1"/>
    </xf>
    <xf numFmtId="0" fontId="5" fillId="6" borderId="4" xfId="0" applyFont="1" applyFill="1" applyBorder="1" applyAlignment="1" applyProtection="1">
      <alignment horizontal="left" vertical="center" indent="2"/>
      <protection hidden="1"/>
    </xf>
    <xf numFmtId="165" fontId="5" fillId="6" borderId="1" xfId="0" applyNumberFormat="1" applyFont="1" applyFill="1" applyBorder="1" applyAlignment="1" applyProtection="1">
      <alignment horizontal="left" vertical="center" indent="2"/>
      <protection hidden="1"/>
    </xf>
    <xf numFmtId="165" fontId="5" fillId="6" borderId="5" xfId="0" applyNumberFormat="1" applyFont="1" applyFill="1" applyBorder="1" applyAlignment="1" applyProtection="1">
      <alignment horizontal="left" vertical="center" indent="2"/>
      <protection hidden="1"/>
    </xf>
    <xf numFmtId="165" fontId="5" fillId="6" borderId="2" xfId="0" applyNumberFormat="1" applyFont="1" applyFill="1" applyBorder="1" applyAlignment="1" applyProtection="1">
      <alignment horizontal="left" vertical="center" indent="2"/>
      <protection hidden="1"/>
    </xf>
    <xf numFmtId="165" fontId="5" fillId="6" borderId="3" xfId="0" applyNumberFormat="1" applyFont="1" applyFill="1" applyBorder="1" applyAlignment="1" applyProtection="1">
      <alignment horizontal="left" vertical="center" indent="2"/>
      <protection hidden="1"/>
    </xf>
    <xf numFmtId="165" fontId="5" fillId="6" borderId="6" xfId="0" applyNumberFormat="1" applyFont="1" applyFill="1" applyBorder="1" applyAlignment="1" applyProtection="1">
      <alignment horizontal="left" vertical="center" indent="2"/>
      <protection hidden="1"/>
    </xf>
    <xf numFmtId="165" fontId="5" fillId="6" borderId="4" xfId="0" applyNumberFormat="1" applyFont="1" applyFill="1" applyBorder="1" applyAlignment="1" applyProtection="1">
      <alignment horizontal="left" vertical="center" indent="2"/>
      <protection hidden="1"/>
    </xf>
    <xf numFmtId="14" fontId="5" fillId="6" borderId="1" xfId="0" applyNumberFormat="1" applyFont="1" applyFill="1" applyBorder="1" applyAlignment="1" applyProtection="1">
      <alignment horizontal="left" vertical="center" indent="2"/>
      <protection hidden="1"/>
    </xf>
    <xf numFmtId="0" fontId="4" fillId="6" borderId="17" xfId="0" applyFont="1" applyFill="1" applyBorder="1" applyAlignment="1">
      <alignment horizontal="center" vertical="center"/>
    </xf>
    <xf numFmtId="0" fontId="4" fillId="9" borderId="1" xfId="0" applyFont="1" applyFill="1" applyBorder="1" applyAlignment="1" applyProtection="1">
      <alignment horizontal="center" vertical="center"/>
      <protection locked="0"/>
    </xf>
    <xf numFmtId="0" fontId="4" fillId="9" borderId="2" xfId="0" applyFont="1" applyFill="1" applyBorder="1" applyAlignment="1" applyProtection="1">
      <alignment horizontal="center" vertical="center"/>
      <protection locked="0"/>
    </xf>
    <xf numFmtId="0" fontId="4" fillId="9" borderId="3" xfId="0" applyFont="1" applyFill="1" applyBorder="1" applyAlignment="1" applyProtection="1">
      <alignment horizontal="center" vertical="center"/>
      <protection locked="0"/>
    </xf>
    <xf numFmtId="0" fontId="4" fillId="9" borderId="4" xfId="0" applyFont="1" applyFill="1" applyBorder="1" applyAlignment="1" applyProtection="1">
      <alignment horizontal="center" vertical="center"/>
      <protection locked="0"/>
    </xf>
    <xf numFmtId="14" fontId="5" fillId="9" borderId="1" xfId="0" applyNumberFormat="1" applyFont="1" applyFill="1" applyBorder="1" applyAlignment="1" applyProtection="1">
      <alignment horizontal="center" vertical="center"/>
      <protection locked="0"/>
    </xf>
    <xf numFmtId="0" fontId="5" fillId="9" borderId="2" xfId="0" applyFont="1" applyFill="1" applyBorder="1" applyAlignment="1" applyProtection="1">
      <alignment horizontal="center" vertical="center"/>
      <protection locked="0"/>
    </xf>
    <xf numFmtId="0" fontId="5" fillId="9" borderId="3" xfId="0" applyFont="1" applyFill="1" applyBorder="1" applyAlignment="1" applyProtection="1">
      <alignment horizontal="center" vertical="center"/>
      <protection locked="0"/>
    </xf>
    <xf numFmtId="0" fontId="5" fillId="9" borderId="4" xfId="0" applyFont="1" applyFill="1" applyBorder="1" applyAlignment="1" applyProtection="1">
      <alignment horizontal="center" vertical="center"/>
      <protection locked="0"/>
    </xf>
    <xf numFmtId="0" fontId="4" fillId="9" borderId="1" xfId="0" applyFont="1" applyFill="1" applyBorder="1" applyAlignment="1" applyProtection="1">
      <alignment horizontal="left" vertical="center" indent="2"/>
      <protection locked="0"/>
    </xf>
    <xf numFmtId="0" fontId="4" fillId="9" borderId="2" xfId="0" applyFont="1" applyFill="1" applyBorder="1" applyAlignment="1" applyProtection="1">
      <alignment horizontal="left" vertical="center" indent="2"/>
      <protection locked="0"/>
    </xf>
    <xf numFmtId="0" fontId="4" fillId="9" borderId="3" xfId="0" applyFont="1" applyFill="1" applyBorder="1" applyAlignment="1" applyProtection="1">
      <alignment horizontal="left" vertical="center" indent="2"/>
      <protection locked="0"/>
    </xf>
    <xf numFmtId="0" fontId="4" fillId="9" borderId="4" xfId="0" applyFont="1" applyFill="1" applyBorder="1" applyAlignment="1" applyProtection="1">
      <alignment horizontal="left" vertical="center" indent="2"/>
      <protection locked="0"/>
    </xf>
    <xf numFmtId="0" fontId="8" fillId="9" borderId="17" xfId="0" applyFont="1" applyFill="1" applyBorder="1" applyAlignment="1" applyProtection="1">
      <alignment horizontal="left" vertical="center" indent="1"/>
      <protection locked="0"/>
    </xf>
    <xf numFmtId="0" fontId="8" fillId="6" borderId="17" xfId="0" applyFont="1" applyFill="1" applyBorder="1" applyAlignment="1">
      <alignment horizontal="left" vertical="center" indent="2"/>
    </xf>
    <xf numFmtId="0" fontId="4" fillId="6" borderId="18" xfId="0" applyFont="1" applyFill="1" applyBorder="1" applyAlignment="1">
      <alignment horizontal="left" vertical="center" indent="1"/>
    </xf>
    <xf numFmtId="0" fontId="4" fillId="6" borderId="19" xfId="0" applyFont="1" applyFill="1" applyBorder="1" applyAlignment="1">
      <alignment horizontal="left" vertical="center" indent="1"/>
    </xf>
    <xf numFmtId="0" fontId="4" fillId="6" borderId="20" xfId="0" applyFont="1" applyFill="1" applyBorder="1" applyAlignment="1">
      <alignment horizontal="left" vertical="center" indent="1"/>
    </xf>
    <xf numFmtId="0" fontId="4" fillId="6" borderId="21" xfId="0" applyFont="1" applyFill="1" applyBorder="1" applyAlignment="1">
      <alignment horizontal="left" vertical="center" indent="1"/>
    </xf>
    <xf numFmtId="0" fontId="4" fillId="6" borderId="22" xfId="0" applyFont="1" applyFill="1" applyBorder="1" applyAlignment="1">
      <alignment horizontal="left" vertical="center" indent="1"/>
    </xf>
    <xf numFmtId="0" fontId="4" fillId="6" borderId="23" xfId="0" applyFont="1" applyFill="1" applyBorder="1" applyAlignment="1">
      <alignment horizontal="left" vertical="center" indent="1"/>
    </xf>
    <xf numFmtId="14" fontId="8" fillId="9" borderId="0" xfId="0" applyNumberFormat="1" applyFont="1" applyFill="1" applyAlignment="1" applyProtection="1">
      <alignment horizontal="left" vertical="center" indent="2"/>
      <protection locked="0"/>
    </xf>
    <xf numFmtId="0" fontId="8" fillId="9" borderId="0" xfId="0" applyFont="1" applyFill="1" applyAlignment="1" applyProtection="1">
      <alignment horizontal="left" vertical="center" indent="2"/>
      <protection locked="0"/>
    </xf>
    <xf numFmtId="0" fontId="8" fillId="9" borderId="17" xfId="0" applyFont="1" applyFill="1" applyBorder="1" applyAlignment="1" applyProtection="1">
      <alignment horizontal="left" vertical="center" indent="2"/>
      <protection locked="0"/>
    </xf>
    <xf numFmtId="165" fontId="4" fillId="6" borderId="17" xfId="0" applyNumberFormat="1" applyFont="1" applyFill="1" applyBorder="1" applyAlignment="1">
      <alignment horizontal="left" vertical="center" indent="2"/>
    </xf>
  </cellXfs>
  <cellStyles count="3">
    <cellStyle name="Ênfase1" xfId="2" builtinId="29"/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GRÁFICO</a:t>
            </a:r>
            <a:r>
              <a:rPr lang="pt-BR" baseline="0"/>
              <a:t> VENDAS MESAL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 VENDEDOR'!$D$8:$D$19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'GRÁFICO VENDEDOR'!$E$8:$E$19</c:f>
              <c:numCache>
                <c:formatCode>"R$"\ #,##0.00</c:formatCode>
                <c:ptCount val="12"/>
                <c:pt idx="0">
                  <c:v>27600</c:v>
                </c:pt>
                <c:pt idx="1">
                  <c:v>46550</c:v>
                </c:pt>
                <c:pt idx="2">
                  <c:v>162798.15</c:v>
                </c:pt>
                <c:pt idx="3">
                  <c:v>20250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F2-4436-9D0F-5CA3EE689B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03210256"/>
        <c:axId val="344607456"/>
      </c:barChart>
      <c:catAx>
        <c:axId val="403210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4607456"/>
        <c:crosses val="autoZero"/>
        <c:auto val="1"/>
        <c:lblAlgn val="ctr"/>
        <c:lblOffset val="100"/>
        <c:noMultiLvlLbl val="0"/>
      </c:catAx>
      <c:valAx>
        <c:axId val="34460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321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RODUTOS!C7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hyperlink" Target="#VENDAS!C7"/><Relationship Id="rId4" Type="http://schemas.openxmlformats.org/officeDocument/2006/relationships/hyperlink" Target="#VENDEDORES!C7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PRODUTOS CADASTRO'!C6"/><Relationship Id="rId3" Type="http://schemas.openxmlformats.org/officeDocument/2006/relationships/hyperlink" Target="#'P&#193;GINA INICIAL'!C7"/><Relationship Id="rId7" Type="http://schemas.openxmlformats.org/officeDocument/2006/relationships/hyperlink" Target="#ESTOQUE!C6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hyperlink" Target="#LAN&#199;AMENTOS!C7"/><Relationship Id="rId5" Type="http://schemas.openxmlformats.org/officeDocument/2006/relationships/hyperlink" Target="#VENDAS!C7"/><Relationship Id="rId4" Type="http://schemas.openxmlformats.org/officeDocument/2006/relationships/hyperlink" Target="#VENDEDORES!C7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P&#193;GINA INICIAL'!C7"/><Relationship Id="rId7" Type="http://schemas.openxmlformats.org/officeDocument/2006/relationships/hyperlink" Target="#ESTOQUE!C6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hyperlink" Target="#LAN&#199;AMENTOS!C7"/><Relationship Id="rId5" Type="http://schemas.openxmlformats.org/officeDocument/2006/relationships/hyperlink" Target="#VENDAS!C7"/><Relationship Id="rId4" Type="http://schemas.openxmlformats.org/officeDocument/2006/relationships/hyperlink" Target="#VENDEDORES!C7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P&#193;GINA INICIAL'!C7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hyperlink" Target="#LAN&#199;AMENTOS!C5"/><Relationship Id="rId5" Type="http://schemas.openxmlformats.org/officeDocument/2006/relationships/hyperlink" Target="#VENDAS!C7"/><Relationship Id="rId4" Type="http://schemas.openxmlformats.org/officeDocument/2006/relationships/hyperlink" Target="#VENDEDORES!C7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P&#193;GINA INICIAL'!C7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hyperlink" Target="#'GR&#193;FICO VENDEDOR'!A1"/><Relationship Id="rId5" Type="http://schemas.openxmlformats.org/officeDocument/2006/relationships/hyperlink" Target="#VENDAS!C7"/><Relationship Id="rId4" Type="http://schemas.openxmlformats.org/officeDocument/2006/relationships/hyperlink" Target="#PRODUTOS!C7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P&#193;GINA INICIAL'!C7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hyperlink" Target="#VENDAS!C7"/><Relationship Id="rId4" Type="http://schemas.openxmlformats.org/officeDocument/2006/relationships/hyperlink" Target="#PRODUTOS!C7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P&#193;GINA INICIAL'!C7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hyperlink" Target="#ESTOQUE!C6"/><Relationship Id="rId5" Type="http://schemas.openxmlformats.org/officeDocument/2006/relationships/hyperlink" Target="#VENDAS!C7"/><Relationship Id="rId4" Type="http://schemas.openxmlformats.org/officeDocument/2006/relationships/hyperlink" Target="#VENDEDORES!C7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P&#193;GINA INICIAL'!C7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hyperlink" Target="#VENDEDORES!C7"/><Relationship Id="rId4" Type="http://schemas.openxmlformats.org/officeDocument/2006/relationships/hyperlink" Target="#PRODUTOS!C7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365625</xdr:colOff>
      <xdr:row>0</xdr:row>
      <xdr:rowOff>342900</xdr:rowOff>
    </xdr:from>
    <xdr:to>
      <xdr:col>0</xdr:col>
      <xdr:colOff>2270625</xdr:colOff>
      <xdr:row>10</xdr:row>
      <xdr:rowOff>28575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045730DE-5B3C-4C7B-A8F6-D4D84F707945}"/>
            </a:ext>
          </a:extLst>
        </xdr:cNvPr>
        <xdr:cNvSpPr/>
      </xdr:nvSpPr>
      <xdr:spPr>
        <a:xfrm>
          <a:off x="365625" y="342900"/>
          <a:ext cx="1905000" cy="1905000"/>
        </a:xfrm>
        <a:prstGeom prst="ellipse">
          <a:avLst/>
        </a:prstGeom>
        <a:ln w="762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646613</xdr:colOff>
      <xdr:row>1</xdr:row>
      <xdr:rowOff>180975</xdr:rowOff>
    </xdr:from>
    <xdr:to>
      <xdr:col>0</xdr:col>
      <xdr:colOff>1989638</xdr:colOff>
      <xdr:row>8</xdr:row>
      <xdr:rowOff>190500</xdr:rowOff>
    </xdr:to>
    <xdr:pic>
      <xdr:nvPicPr>
        <xdr:cNvPr id="5" name="Gráfico 4">
          <a:extLst>
            <a:ext uri="{FF2B5EF4-FFF2-40B4-BE49-F238E27FC236}">
              <a16:creationId xmlns:a16="http://schemas.microsoft.com/office/drawing/2014/main" id="{693F24DC-80F9-474E-A1D5-DF1CA82A3C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6613" y="685800"/>
          <a:ext cx="1343025" cy="1343025"/>
        </a:xfrm>
        <a:prstGeom prst="rect">
          <a:avLst/>
        </a:prstGeom>
      </xdr:spPr>
    </xdr:pic>
    <xdr:clientData/>
  </xdr:twoCellAnchor>
  <xdr:twoCellAnchor editAs="absolute">
    <xdr:from>
      <xdr:col>0</xdr:col>
      <xdr:colOff>238125</xdr:colOff>
      <xdr:row>11</xdr:row>
      <xdr:rowOff>85725</xdr:rowOff>
    </xdr:from>
    <xdr:to>
      <xdr:col>0</xdr:col>
      <xdr:colOff>2398125</xdr:colOff>
      <xdr:row>13</xdr:row>
      <xdr:rowOff>55200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1E09D290-D574-40B0-A693-DBAA1423DD5E}"/>
            </a:ext>
          </a:extLst>
        </xdr:cNvPr>
        <xdr:cNvSpPr/>
      </xdr:nvSpPr>
      <xdr:spPr>
        <a:xfrm>
          <a:off x="238125" y="2505075"/>
          <a:ext cx="2160000" cy="36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PÁGINA</a:t>
          </a:r>
          <a:r>
            <a:rPr lang="pt-BR" sz="1400" b="1" baseline="0">
              <a:solidFill>
                <a:schemeClr val="bg1"/>
              </a:solidFill>
            </a:rPr>
            <a:t> INICIAL</a:t>
          </a:r>
          <a:endParaRPr lang="pt-BR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238125</xdr:colOff>
      <xdr:row>13</xdr:row>
      <xdr:rowOff>123825</xdr:rowOff>
    </xdr:from>
    <xdr:to>
      <xdr:col>0</xdr:col>
      <xdr:colOff>2398125</xdr:colOff>
      <xdr:row>15</xdr:row>
      <xdr:rowOff>93300</xdr:rowOff>
    </xdr:to>
    <xdr:sp macro="" textlink="">
      <xdr:nvSpPr>
        <xdr:cNvPr id="15" name="Retângulo: Cantos Arredondados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7B9DA45-6F85-4DC9-8B19-4333CFA0C2FF}"/>
            </a:ext>
          </a:extLst>
        </xdr:cNvPr>
        <xdr:cNvSpPr/>
      </xdr:nvSpPr>
      <xdr:spPr>
        <a:xfrm>
          <a:off x="238125" y="2933700"/>
          <a:ext cx="216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PRODUTOS</a:t>
          </a:r>
        </a:p>
      </xdr:txBody>
    </xdr:sp>
    <xdr:clientData/>
  </xdr:twoCellAnchor>
  <xdr:twoCellAnchor editAs="absolute">
    <xdr:from>
      <xdr:col>0</xdr:col>
      <xdr:colOff>238125</xdr:colOff>
      <xdr:row>15</xdr:row>
      <xdr:rowOff>161925</xdr:rowOff>
    </xdr:from>
    <xdr:to>
      <xdr:col>0</xdr:col>
      <xdr:colOff>2398125</xdr:colOff>
      <xdr:row>17</xdr:row>
      <xdr:rowOff>140925</xdr:rowOff>
    </xdr:to>
    <xdr:sp macro="" textlink="">
      <xdr:nvSpPr>
        <xdr:cNvPr id="16" name="Retângulo: Cantos Arredondados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962BD70-ABC9-4DA6-82A8-ECA98DD4C364}"/>
            </a:ext>
          </a:extLst>
        </xdr:cNvPr>
        <xdr:cNvSpPr/>
      </xdr:nvSpPr>
      <xdr:spPr>
        <a:xfrm>
          <a:off x="238125" y="3362325"/>
          <a:ext cx="216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VENDEDORES</a:t>
          </a:r>
        </a:p>
      </xdr:txBody>
    </xdr:sp>
    <xdr:clientData/>
  </xdr:twoCellAnchor>
  <xdr:twoCellAnchor editAs="absolute">
    <xdr:from>
      <xdr:col>0</xdr:col>
      <xdr:colOff>238125</xdr:colOff>
      <xdr:row>18</xdr:row>
      <xdr:rowOff>19050</xdr:rowOff>
    </xdr:from>
    <xdr:to>
      <xdr:col>0</xdr:col>
      <xdr:colOff>2398125</xdr:colOff>
      <xdr:row>19</xdr:row>
      <xdr:rowOff>188550</xdr:rowOff>
    </xdr:to>
    <xdr:sp macro="" textlink="">
      <xdr:nvSpPr>
        <xdr:cNvPr id="17" name="Retângulo: Cantos Arredondados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FD4CA72-BA89-402B-9E46-9FD5E4341AC0}"/>
            </a:ext>
          </a:extLst>
        </xdr:cNvPr>
        <xdr:cNvSpPr/>
      </xdr:nvSpPr>
      <xdr:spPr>
        <a:xfrm>
          <a:off x="238125" y="3790950"/>
          <a:ext cx="216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VENDAS</a:t>
          </a:r>
        </a:p>
      </xdr:txBody>
    </xdr:sp>
    <xdr:clientData/>
  </xdr:twoCellAnchor>
  <xdr:twoCellAnchor>
    <xdr:from>
      <xdr:col>1</xdr:col>
      <xdr:colOff>419100</xdr:colOff>
      <xdr:row>0</xdr:row>
      <xdr:rowOff>485775</xdr:rowOff>
    </xdr:from>
    <xdr:to>
      <xdr:col>7</xdr:col>
      <xdr:colOff>132266</xdr:colOff>
      <xdr:row>7</xdr:row>
      <xdr:rowOff>110157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BDB89670-C0B4-4EF4-87A0-BBCDDA2BB8D1}"/>
            </a:ext>
          </a:extLst>
        </xdr:cNvPr>
        <xdr:cNvGrpSpPr/>
      </xdr:nvGrpSpPr>
      <xdr:grpSpPr>
        <a:xfrm>
          <a:off x="3133725" y="485775"/>
          <a:ext cx="3370766" cy="1272207"/>
          <a:chOff x="3181834" y="409575"/>
          <a:chExt cx="3370766" cy="1272207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EBE68F85-69CB-435F-BC4B-7D5845FA1952}"/>
              </a:ext>
            </a:extLst>
          </xdr:cNvPr>
          <xdr:cNvSpPr/>
        </xdr:nvSpPr>
        <xdr:spPr>
          <a:xfrm>
            <a:off x="3181834" y="409575"/>
            <a:ext cx="2704138" cy="1031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6000" b="1" cap="none" spc="0">
                <a:ln w="0"/>
                <a:solidFill>
                  <a:schemeClr val="tx2"/>
                </a:solidFill>
                <a:effectLst>
                  <a:reflection blurRad="6350" stA="53000" endA="300" endPos="35500" dir="5400000" sy="-90000" algn="bl" rotWithShape="0"/>
                </a:effectLst>
              </a:rPr>
              <a:t>Sistema</a:t>
            </a:r>
          </a:p>
        </xdr:txBody>
      </xdr:sp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14C73086-097D-4028-820B-7D42615AF8DB}"/>
              </a:ext>
            </a:extLst>
          </xdr:cNvPr>
          <xdr:cNvSpPr/>
        </xdr:nvSpPr>
        <xdr:spPr>
          <a:xfrm>
            <a:off x="5829903" y="914400"/>
            <a:ext cx="722697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1" cap="none" spc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</a:rPr>
              <a:t>V 1.0</a:t>
            </a:r>
          </a:p>
        </xdr:txBody>
      </xdr:sp>
      <xdr:sp macro="" textlink="">
        <xdr:nvSpPr>
          <xdr:cNvPr id="12" name="Retângulo 11">
            <a:extLst>
              <a:ext uri="{FF2B5EF4-FFF2-40B4-BE49-F238E27FC236}">
                <a16:creationId xmlns:a16="http://schemas.microsoft.com/office/drawing/2014/main" id="{0E2B6C6E-0692-41D4-B5A2-9BFDED208E3D}"/>
              </a:ext>
            </a:extLst>
          </xdr:cNvPr>
          <xdr:cNvSpPr/>
        </xdr:nvSpPr>
        <xdr:spPr>
          <a:xfrm>
            <a:off x="3197202" y="1266825"/>
            <a:ext cx="843629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1" cap="none" spc="0">
                <a:ln w="0"/>
                <a:solidFill>
                  <a:srgbClr val="FF0000"/>
                </a:solidFill>
                <a:effectLst>
                  <a:reflection blurRad="6350" stA="53000" endA="300" endPos="35500" dir="5400000" sy="-90000" algn="bl" rotWithShape="0"/>
                </a:effectLst>
              </a:rPr>
              <a:t>CEPEP</a:t>
            </a:r>
          </a:p>
        </xdr:txBody>
      </xdr:sp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73A43B7F-6A9E-4732-898A-811AA2290B18}"/>
              </a:ext>
            </a:extLst>
          </xdr:cNvPr>
          <xdr:cNvSpPr/>
        </xdr:nvSpPr>
        <xdr:spPr>
          <a:xfrm>
            <a:off x="3920326" y="1276350"/>
            <a:ext cx="1647053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1" cap="none" spc="0">
                <a:ln w="0"/>
                <a:solidFill>
                  <a:schemeClr val="accent1">
                    <a:lumMod val="75000"/>
                  </a:schemeClr>
                </a:solidFill>
                <a:effectLst>
                  <a:reflection blurRad="6350" stA="53000" endA="300" endPos="35500" dir="5400000" sy="-90000" algn="bl" rotWithShape="0"/>
                </a:effectLst>
              </a:rPr>
              <a:t>MARACANAÚ</a:t>
            </a:r>
          </a:p>
        </xdr:txBody>
      </xdr:sp>
    </xdr:grpSp>
    <xdr:clientData/>
  </xdr:twoCellAnchor>
  <xdr:oneCellAnchor>
    <xdr:from>
      <xdr:col>1</xdr:col>
      <xdr:colOff>466628</xdr:colOff>
      <xdr:row>7</xdr:row>
      <xdr:rowOff>55060</xdr:rowOff>
    </xdr:from>
    <xdr:ext cx="3104376" cy="655885"/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9AC895F0-CA0C-4018-9B69-FA22AA9FFFE0}"/>
            </a:ext>
          </a:extLst>
        </xdr:cNvPr>
        <xdr:cNvSpPr/>
      </xdr:nvSpPr>
      <xdr:spPr>
        <a:xfrm>
          <a:off x="3181253" y="1702885"/>
          <a:ext cx="3104376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0"/>
              <a:solidFill>
                <a:schemeClr val="accent6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Excel</a:t>
          </a:r>
          <a:r>
            <a:rPr lang="pt-BR" sz="3600" b="1" cap="none" spc="0" baseline="0">
              <a:ln w="0"/>
              <a:solidFill>
                <a:schemeClr val="accent6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avançado</a:t>
          </a:r>
          <a:endParaRPr lang="pt-BR" sz="3600" b="1" cap="none" spc="0">
            <a:ln w="0"/>
            <a:solidFill>
              <a:schemeClr val="accent6">
                <a:lumMod val="75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365625</xdr:colOff>
      <xdr:row>0</xdr:row>
      <xdr:rowOff>342900</xdr:rowOff>
    </xdr:from>
    <xdr:to>
      <xdr:col>0</xdr:col>
      <xdr:colOff>2270625</xdr:colOff>
      <xdr:row>10</xdr:row>
      <xdr:rowOff>28575</xdr:rowOff>
    </xdr:to>
    <xdr:sp macro="" textlink="">
      <xdr:nvSpPr>
        <xdr:cNvPr id="2" name="Elipse 1">
          <a:extLst>
            <a:ext uri="{FF2B5EF4-FFF2-40B4-BE49-F238E27FC236}">
              <a16:creationId xmlns:a16="http://schemas.microsoft.com/office/drawing/2014/main" id="{246EF525-367A-47FF-9A75-7B9EA8BFE1AC}"/>
            </a:ext>
          </a:extLst>
        </xdr:cNvPr>
        <xdr:cNvSpPr/>
      </xdr:nvSpPr>
      <xdr:spPr>
        <a:xfrm>
          <a:off x="365625" y="342900"/>
          <a:ext cx="1905000" cy="1905000"/>
        </a:xfrm>
        <a:prstGeom prst="ellipse">
          <a:avLst/>
        </a:prstGeom>
        <a:ln w="762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646613</xdr:colOff>
      <xdr:row>1</xdr:row>
      <xdr:rowOff>180975</xdr:rowOff>
    </xdr:from>
    <xdr:to>
      <xdr:col>0</xdr:col>
      <xdr:colOff>1989638</xdr:colOff>
      <xdr:row>8</xdr:row>
      <xdr:rowOff>171450</xdr:rowOff>
    </xdr:to>
    <xdr:pic>
      <xdr:nvPicPr>
        <xdr:cNvPr id="3" name="Gráfico 2">
          <a:extLst>
            <a:ext uri="{FF2B5EF4-FFF2-40B4-BE49-F238E27FC236}">
              <a16:creationId xmlns:a16="http://schemas.microsoft.com/office/drawing/2014/main" id="{6BB06DDA-F7B0-402B-8C3D-BF26D6E41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6613" y="685800"/>
          <a:ext cx="1343025" cy="1343025"/>
        </a:xfrm>
        <a:prstGeom prst="rect">
          <a:avLst/>
        </a:prstGeom>
      </xdr:spPr>
    </xdr:pic>
    <xdr:clientData/>
  </xdr:twoCellAnchor>
  <xdr:twoCellAnchor editAs="absolute">
    <xdr:from>
      <xdr:col>0</xdr:col>
      <xdr:colOff>238125</xdr:colOff>
      <xdr:row>11</xdr:row>
      <xdr:rowOff>57150</xdr:rowOff>
    </xdr:from>
    <xdr:to>
      <xdr:col>0</xdr:col>
      <xdr:colOff>2398125</xdr:colOff>
      <xdr:row>13</xdr:row>
      <xdr:rowOff>26625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913DDF7-CB96-404F-B37F-7F2547C35392}"/>
            </a:ext>
          </a:extLst>
        </xdr:cNvPr>
        <xdr:cNvSpPr/>
      </xdr:nvSpPr>
      <xdr:spPr>
        <a:xfrm>
          <a:off x="238125" y="2505075"/>
          <a:ext cx="216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PÁGINA</a:t>
          </a:r>
          <a:r>
            <a:rPr lang="pt-BR" sz="1400" b="1" baseline="0">
              <a:solidFill>
                <a:sysClr val="windowText" lastClr="000000"/>
              </a:solidFill>
            </a:rPr>
            <a:t> INICIAL</a:t>
          </a:r>
          <a:endParaRPr lang="pt-BR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238125</xdr:colOff>
      <xdr:row>13</xdr:row>
      <xdr:rowOff>95250</xdr:rowOff>
    </xdr:from>
    <xdr:to>
      <xdr:col>0</xdr:col>
      <xdr:colOff>2398125</xdr:colOff>
      <xdr:row>15</xdr:row>
      <xdr:rowOff>64725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46F2EBA-912E-4D82-8A66-67D01FC07246}"/>
            </a:ext>
          </a:extLst>
        </xdr:cNvPr>
        <xdr:cNvSpPr/>
      </xdr:nvSpPr>
      <xdr:spPr>
        <a:xfrm>
          <a:off x="238125" y="2933700"/>
          <a:ext cx="2160000" cy="36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PRODUTOS</a:t>
          </a:r>
        </a:p>
      </xdr:txBody>
    </xdr:sp>
    <xdr:clientData/>
  </xdr:twoCellAnchor>
  <xdr:twoCellAnchor editAs="absolute">
    <xdr:from>
      <xdr:col>0</xdr:col>
      <xdr:colOff>238125</xdr:colOff>
      <xdr:row>15</xdr:row>
      <xdr:rowOff>133350</xdr:rowOff>
    </xdr:from>
    <xdr:to>
      <xdr:col>0</xdr:col>
      <xdr:colOff>2398125</xdr:colOff>
      <xdr:row>17</xdr:row>
      <xdr:rowOff>112350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1E3DE6D-BB4B-4E68-B899-E1F98982D4F2}"/>
            </a:ext>
          </a:extLst>
        </xdr:cNvPr>
        <xdr:cNvSpPr/>
      </xdr:nvSpPr>
      <xdr:spPr>
        <a:xfrm>
          <a:off x="238125" y="3362325"/>
          <a:ext cx="216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VENDEDORES</a:t>
          </a:r>
        </a:p>
      </xdr:txBody>
    </xdr:sp>
    <xdr:clientData/>
  </xdr:twoCellAnchor>
  <xdr:twoCellAnchor editAs="absolute">
    <xdr:from>
      <xdr:col>0</xdr:col>
      <xdr:colOff>238125</xdr:colOff>
      <xdr:row>17</xdr:row>
      <xdr:rowOff>180975</xdr:rowOff>
    </xdr:from>
    <xdr:to>
      <xdr:col>0</xdr:col>
      <xdr:colOff>2398125</xdr:colOff>
      <xdr:row>21</xdr:row>
      <xdr:rowOff>159975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9ACC855-E9E7-4AA9-B866-6891A25F5F32}"/>
            </a:ext>
          </a:extLst>
        </xdr:cNvPr>
        <xdr:cNvSpPr/>
      </xdr:nvSpPr>
      <xdr:spPr>
        <a:xfrm>
          <a:off x="238125" y="3790950"/>
          <a:ext cx="216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VENDAS</a:t>
          </a:r>
        </a:p>
      </xdr:txBody>
    </xdr:sp>
    <xdr:clientData/>
  </xdr:twoCellAnchor>
  <xdr:twoCellAnchor>
    <xdr:from>
      <xdr:col>5</xdr:col>
      <xdr:colOff>285749</xdr:colOff>
      <xdr:row>0</xdr:row>
      <xdr:rowOff>57150</xdr:rowOff>
    </xdr:from>
    <xdr:to>
      <xdr:col>6</xdr:col>
      <xdr:colOff>123599</xdr:colOff>
      <xdr:row>0</xdr:row>
      <xdr:rowOff>417150</xdr:rowOff>
    </xdr:to>
    <xdr:sp macro="" textlink="">
      <xdr:nvSpPr>
        <xdr:cNvPr id="8" name="Retângulo: Cantos Arredondado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EB9FD7F-735F-40A0-9315-D2EEB6C14341}"/>
            </a:ext>
          </a:extLst>
        </xdr:cNvPr>
        <xdr:cNvSpPr/>
      </xdr:nvSpPr>
      <xdr:spPr>
        <a:xfrm>
          <a:off x="5915024" y="57150"/>
          <a:ext cx="180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C00000"/>
              </a:solidFill>
            </a:rPr>
            <a:t>LANÇAMENTOS</a:t>
          </a:r>
        </a:p>
      </xdr:txBody>
    </xdr:sp>
    <xdr:clientData/>
  </xdr:twoCellAnchor>
  <xdr:twoCellAnchor editAs="absolute">
    <xdr:from>
      <xdr:col>4</xdr:col>
      <xdr:colOff>95250</xdr:colOff>
      <xdr:row>0</xdr:row>
      <xdr:rowOff>47625</xdr:rowOff>
    </xdr:from>
    <xdr:to>
      <xdr:col>5</xdr:col>
      <xdr:colOff>171450</xdr:colOff>
      <xdr:row>0</xdr:row>
      <xdr:rowOff>409575</xdr:rowOff>
    </xdr:to>
    <xdr:sp macro="" textlink="">
      <xdr:nvSpPr>
        <xdr:cNvPr id="9" name="Retângulo: Cantos Arredondado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FF09208-C21C-4BC6-891F-CE71FF0D6C3B}"/>
            </a:ext>
          </a:extLst>
        </xdr:cNvPr>
        <xdr:cNvSpPr/>
      </xdr:nvSpPr>
      <xdr:spPr>
        <a:xfrm>
          <a:off x="4638675" y="47625"/>
          <a:ext cx="11620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tx1"/>
              </a:solidFill>
            </a:rPr>
            <a:t>ESTOQUE'</a:t>
          </a:r>
        </a:p>
      </xdr:txBody>
    </xdr:sp>
    <xdr:clientData/>
  </xdr:twoCellAnchor>
  <xdr:twoCellAnchor editAs="absolute">
    <xdr:from>
      <xdr:col>0</xdr:col>
      <xdr:colOff>2714624</xdr:colOff>
      <xdr:row>0</xdr:row>
      <xdr:rowOff>47625</xdr:rowOff>
    </xdr:from>
    <xdr:to>
      <xdr:col>3</xdr:col>
      <xdr:colOff>600074</xdr:colOff>
      <xdr:row>0</xdr:row>
      <xdr:rowOff>409575</xdr:rowOff>
    </xdr:to>
    <xdr:sp macro="" textlink="">
      <xdr:nvSpPr>
        <xdr:cNvPr id="10" name="Retângulo: Cantos Arredondados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5CEAF52-4DDB-4BCC-ABBD-26D75A39D842}"/>
            </a:ext>
          </a:extLst>
        </xdr:cNvPr>
        <xdr:cNvSpPr/>
      </xdr:nvSpPr>
      <xdr:spPr>
        <a:xfrm>
          <a:off x="2714624" y="47625"/>
          <a:ext cx="1819275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tx1"/>
              </a:solidFill>
            </a:rPr>
            <a:t>CADASTRAR PRODUTO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365625</xdr:colOff>
      <xdr:row>0</xdr:row>
      <xdr:rowOff>342900</xdr:rowOff>
    </xdr:from>
    <xdr:to>
      <xdr:col>0</xdr:col>
      <xdr:colOff>2270625</xdr:colOff>
      <xdr:row>10</xdr:row>
      <xdr:rowOff>28575</xdr:rowOff>
    </xdr:to>
    <xdr:sp macro="" textlink="">
      <xdr:nvSpPr>
        <xdr:cNvPr id="2" name="Elipse 1">
          <a:extLst>
            <a:ext uri="{FF2B5EF4-FFF2-40B4-BE49-F238E27FC236}">
              <a16:creationId xmlns:a16="http://schemas.microsoft.com/office/drawing/2014/main" id="{41EEB26A-94D3-45DE-9F77-F1D5CF2FB7CA}"/>
            </a:ext>
          </a:extLst>
        </xdr:cNvPr>
        <xdr:cNvSpPr/>
      </xdr:nvSpPr>
      <xdr:spPr>
        <a:xfrm>
          <a:off x="365625" y="342900"/>
          <a:ext cx="1905000" cy="1933575"/>
        </a:xfrm>
        <a:prstGeom prst="ellipse">
          <a:avLst/>
        </a:prstGeom>
        <a:ln w="762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646613</xdr:colOff>
      <xdr:row>1</xdr:row>
      <xdr:rowOff>180975</xdr:rowOff>
    </xdr:from>
    <xdr:to>
      <xdr:col>0</xdr:col>
      <xdr:colOff>1989638</xdr:colOff>
      <xdr:row>8</xdr:row>
      <xdr:rowOff>171450</xdr:rowOff>
    </xdr:to>
    <xdr:pic>
      <xdr:nvPicPr>
        <xdr:cNvPr id="3" name="Gráfico 2">
          <a:extLst>
            <a:ext uri="{FF2B5EF4-FFF2-40B4-BE49-F238E27FC236}">
              <a16:creationId xmlns:a16="http://schemas.microsoft.com/office/drawing/2014/main" id="{4DDB1534-B14F-4E45-8F61-4863D8F4E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6613" y="685800"/>
          <a:ext cx="1343025" cy="1343025"/>
        </a:xfrm>
        <a:prstGeom prst="rect">
          <a:avLst/>
        </a:prstGeom>
      </xdr:spPr>
    </xdr:pic>
    <xdr:clientData/>
  </xdr:twoCellAnchor>
  <xdr:twoCellAnchor editAs="absolute">
    <xdr:from>
      <xdr:col>0</xdr:col>
      <xdr:colOff>238125</xdr:colOff>
      <xdr:row>11</xdr:row>
      <xdr:rowOff>57150</xdr:rowOff>
    </xdr:from>
    <xdr:to>
      <xdr:col>0</xdr:col>
      <xdr:colOff>2398125</xdr:colOff>
      <xdr:row>13</xdr:row>
      <xdr:rowOff>26625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39D39BC-A7BE-4347-AE14-A049B530B6DF}"/>
            </a:ext>
          </a:extLst>
        </xdr:cNvPr>
        <xdr:cNvSpPr/>
      </xdr:nvSpPr>
      <xdr:spPr>
        <a:xfrm>
          <a:off x="238125" y="2505075"/>
          <a:ext cx="216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PÁGINA</a:t>
          </a:r>
          <a:r>
            <a:rPr lang="pt-BR" sz="1400" b="1" baseline="0">
              <a:solidFill>
                <a:sysClr val="windowText" lastClr="000000"/>
              </a:solidFill>
            </a:rPr>
            <a:t> INICIAL</a:t>
          </a:r>
          <a:endParaRPr lang="pt-BR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238125</xdr:colOff>
      <xdr:row>13</xdr:row>
      <xdr:rowOff>95250</xdr:rowOff>
    </xdr:from>
    <xdr:to>
      <xdr:col>0</xdr:col>
      <xdr:colOff>2398125</xdr:colOff>
      <xdr:row>15</xdr:row>
      <xdr:rowOff>64725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2A0C27D-DA34-4412-A17A-9DB36AD91474}"/>
            </a:ext>
          </a:extLst>
        </xdr:cNvPr>
        <xdr:cNvSpPr/>
      </xdr:nvSpPr>
      <xdr:spPr>
        <a:xfrm>
          <a:off x="238125" y="2933700"/>
          <a:ext cx="2160000" cy="36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PRODUTOS</a:t>
          </a:r>
        </a:p>
      </xdr:txBody>
    </xdr:sp>
    <xdr:clientData/>
  </xdr:twoCellAnchor>
  <xdr:twoCellAnchor editAs="absolute">
    <xdr:from>
      <xdr:col>0</xdr:col>
      <xdr:colOff>238125</xdr:colOff>
      <xdr:row>15</xdr:row>
      <xdr:rowOff>133350</xdr:rowOff>
    </xdr:from>
    <xdr:to>
      <xdr:col>0</xdr:col>
      <xdr:colOff>2398125</xdr:colOff>
      <xdr:row>17</xdr:row>
      <xdr:rowOff>112350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56455FF-5A8F-4C61-B09B-34503734E190}"/>
            </a:ext>
          </a:extLst>
        </xdr:cNvPr>
        <xdr:cNvSpPr/>
      </xdr:nvSpPr>
      <xdr:spPr>
        <a:xfrm>
          <a:off x="238125" y="3362325"/>
          <a:ext cx="216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VENDEDORES</a:t>
          </a:r>
        </a:p>
      </xdr:txBody>
    </xdr:sp>
    <xdr:clientData/>
  </xdr:twoCellAnchor>
  <xdr:twoCellAnchor editAs="absolute">
    <xdr:from>
      <xdr:col>0</xdr:col>
      <xdr:colOff>238125</xdr:colOff>
      <xdr:row>17</xdr:row>
      <xdr:rowOff>180975</xdr:rowOff>
    </xdr:from>
    <xdr:to>
      <xdr:col>0</xdr:col>
      <xdr:colOff>2398125</xdr:colOff>
      <xdr:row>19</xdr:row>
      <xdr:rowOff>159975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F599448-9132-41A7-9A64-DE5B66126A21}"/>
            </a:ext>
          </a:extLst>
        </xdr:cNvPr>
        <xdr:cNvSpPr/>
      </xdr:nvSpPr>
      <xdr:spPr>
        <a:xfrm>
          <a:off x="238125" y="3790950"/>
          <a:ext cx="216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VENDAS</a:t>
          </a:r>
        </a:p>
      </xdr:txBody>
    </xdr:sp>
    <xdr:clientData/>
  </xdr:twoCellAnchor>
  <xdr:twoCellAnchor>
    <xdr:from>
      <xdr:col>5</xdr:col>
      <xdr:colOff>285749</xdr:colOff>
      <xdr:row>0</xdr:row>
      <xdr:rowOff>57150</xdr:rowOff>
    </xdr:from>
    <xdr:to>
      <xdr:col>6</xdr:col>
      <xdr:colOff>123599</xdr:colOff>
      <xdr:row>0</xdr:row>
      <xdr:rowOff>417150</xdr:rowOff>
    </xdr:to>
    <xdr:sp macro="" textlink="">
      <xdr:nvSpPr>
        <xdr:cNvPr id="8" name="Retângulo: Cantos Arredondado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DA96161-8E7E-4129-A876-9269500E1275}"/>
            </a:ext>
          </a:extLst>
        </xdr:cNvPr>
        <xdr:cNvSpPr/>
      </xdr:nvSpPr>
      <xdr:spPr>
        <a:xfrm>
          <a:off x="5915024" y="57150"/>
          <a:ext cx="180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C00000"/>
              </a:solidFill>
            </a:rPr>
            <a:t>LANÇAMENTOS</a:t>
          </a:r>
        </a:p>
      </xdr:txBody>
    </xdr:sp>
    <xdr:clientData/>
  </xdr:twoCellAnchor>
  <xdr:twoCellAnchor editAs="absolute">
    <xdr:from>
      <xdr:col>4</xdr:col>
      <xdr:colOff>95250</xdr:colOff>
      <xdr:row>0</xdr:row>
      <xdr:rowOff>47625</xdr:rowOff>
    </xdr:from>
    <xdr:to>
      <xdr:col>5</xdr:col>
      <xdr:colOff>171450</xdr:colOff>
      <xdr:row>0</xdr:row>
      <xdr:rowOff>409575</xdr:rowOff>
    </xdr:to>
    <xdr:sp macro="" textlink="">
      <xdr:nvSpPr>
        <xdr:cNvPr id="9" name="Retângulo: Cantos Arredondado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6DAA235-B468-47DC-B79F-EBD2AA52D837}"/>
            </a:ext>
          </a:extLst>
        </xdr:cNvPr>
        <xdr:cNvSpPr/>
      </xdr:nvSpPr>
      <xdr:spPr>
        <a:xfrm>
          <a:off x="4638675" y="47625"/>
          <a:ext cx="11620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tx1"/>
              </a:solidFill>
            </a:rPr>
            <a:t>ESTOQUE'</a:t>
          </a:r>
        </a:p>
      </xdr:txBody>
    </xdr:sp>
    <xdr:clientData/>
  </xdr:twoCellAnchor>
  <xdr:twoCellAnchor editAs="absolute">
    <xdr:from>
      <xdr:col>0</xdr:col>
      <xdr:colOff>2714624</xdr:colOff>
      <xdr:row>0</xdr:row>
      <xdr:rowOff>47625</xdr:rowOff>
    </xdr:from>
    <xdr:to>
      <xdr:col>3</xdr:col>
      <xdr:colOff>600074</xdr:colOff>
      <xdr:row>0</xdr:row>
      <xdr:rowOff>409575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18173FEA-E533-4744-A44A-6AA42058A857}"/>
            </a:ext>
          </a:extLst>
        </xdr:cNvPr>
        <xdr:cNvSpPr/>
      </xdr:nvSpPr>
      <xdr:spPr>
        <a:xfrm>
          <a:off x="2714624" y="47625"/>
          <a:ext cx="1819275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tx1"/>
              </a:solidFill>
            </a:rPr>
            <a:t>CADASTRAR PRODUTO</a:t>
          </a:r>
        </a:p>
      </xdr:txBody>
    </xdr:sp>
    <xdr:clientData/>
  </xdr:twoCellAnchor>
  <xdr:twoCellAnchor editAs="absolute">
    <xdr:from>
      <xdr:col>2</xdr:col>
      <xdr:colOff>0</xdr:colOff>
      <xdr:row>18</xdr:row>
      <xdr:rowOff>133350</xdr:rowOff>
    </xdr:from>
    <xdr:to>
      <xdr:col>5</xdr:col>
      <xdr:colOff>590550</xdr:colOff>
      <xdr:row>20</xdr:row>
      <xdr:rowOff>114300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7AEF8D21-F2BF-436A-A7C0-A6EBD3AF0691}"/>
            </a:ext>
          </a:extLst>
        </xdr:cNvPr>
        <xdr:cNvSpPr/>
      </xdr:nvSpPr>
      <xdr:spPr>
        <a:xfrm>
          <a:off x="3324225" y="3933825"/>
          <a:ext cx="2895600" cy="3619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tx1"/>
              </a:solidFill>
            </a:rPr>
            <a:t>CADASTRAR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365625</xdr:colOff>
      <xdr:row>0</xdr:row>
      <xdr:rowOff>342900</xdr:rowOff>
    </xdr:from>
    <xdr:to>
      <xdr:col>0</xdr:col>
      <xdr:colOff>2270625</xdr:colOff>
      <xdr:row>9</xdr:row>
      <xdr:rowOff>75600</xdr:rowOff>
    </xdr:to>
    <xdr:sp macro="" textlink="">
      <xdr:nvSpPr>
        <xdr:cNvPr id="2" name="Elipse 1">
          <a:extLst>
            <a:ext uri="{FF2B5EF4-FFF2-40B4-BE49-F238E27FC236}">
              <a16:creationId xmlns:a16="http://schemas.microsoft.com/office/drawing/2014/main" id="{9A0E62FD-94E4-451C-8730-B6373274F97A}"/>
            </a:ext>
          </a:extLst>
        </xdr:cNvPr>
        <xdr:cNvSpPr/>
      </xdr:nvSpPr>
      <xdr:spPr>
        <a:xfrm>
          <a:off x="365625" y="342900"/>
          <a:ext cx="1905000" cy="1904400"/>
        </a:xfrm>
        <a:prstGeom prst="ellipse">
          <a:avLst/>
        </a:prstGeom>
        <a:ln w="762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646613</xdr:colOff>
      <xdr:row>1</xdr:row>
      <xdr:rowOff>180975</xdr:rowOff>
    </xdr:from>
    <xdr:to>
      <xdr:col>0</xdr:col>
      <xdr:colOff>1989638</xdr:colOff>
      <xdr:row>8</xdr:row>
      <xdr:rowOff>68036</xdr:rowOff>
    </xdr:to>
    <xdr:pic>
      <xdr:nvPicPr>
        <xdr:cNvPr id="3" name="Gráfico 2">
          <a:extLst>
            <a:ext uri="{FF2B5EF4-FFF2-40B4-BE49-F238E27FC236}">
              <a16:creationId xmlns:a16="http://schemas.microsoft.com/office/drawing/2014/main" id="{D7F7D273-73B6-4028-AFFF-6444B556F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6613" y="685800"/>
          <a:ext cx="1343025" cy="1334861"/>
        </a:xfrm>
        <a:prstGeom prst="rect">
          <a:avLst/>
        </a:prstGeom>
      </xdr:spPr>
    </xdr:pic>
    <xdr:clientData/>
  </xdr:twoCellAnchor>
  <xdr:twoCellAnchor editAs="absolute">
    <xdr:from>
      <xdr:col>0</xdr:col>
      <xdr:colOff>238125</xdr:colOff>
      <xdr:row>10</xdr:row>
      <xdr:rowOff>106136</xdr:rowOff>
    </xdr:from>
    <xdr:to>
      <xdr:col>0</xdr:col>
      <xdr:colOff>2398125</xdr:colOff>
      <xdr:row>12</xdr:row>
      <xdr:rowOff>34266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615EBE8-766F-44BC-985C-D23A70D847E6}"/>
            </a:ext>
          </a:extLst>
        </xdr:cNvPr>
        <xdr:cNvSpPr/>
      </xdr:nvSpPr>
      <xdr:spPr>
        <a:xfrm>
          <a:off x="238125" y="2496911"/>
          <a:ext cx="2160000" cy="3662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PÁGINA</a:t>
          </a:r>
          <a:r>
            <a:rPr lang="pt-BR" sz="1400" b="1" baseline="0">
              <a:solidFill>
                <a:sysClr val="windowText" lastClr="000000"/>
              </a:solidFill>
            </a:rPr>
            <a:t> INICIAL</a:t>
          </a:r>
          <a:endParaRPr lang="pt-BR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238125</xdr:colOff>
      <xdr:row>12</xdr:row>
      <xdr:rowOff>96610</xdr:rowOff>
    </xdr:from>
    <xdr:to>
      <xdr:col>0</xdr:col>
      <xdr:colOff>2398125</xdr:colOff>
      <xdr:row>14</xdr:row>
      <xdr:rowOff>27985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28CF84C-206A-48E8-BE8A-F156FBC35801}"/>
            </a:ext>
          </a:extLst>
        </xdr:cNvPr>
        <xdr:cNvSpPr/>
      </xdr:nvSpPr>
      <xdr:spPr>
        <a:xfrm>
          <a:off x="238125" y="2925535"/>
          <a:ext cx="2160000" cy="36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PRODUTOS</a:t>
          </a:r>
        </a:p>
      </xdr:txBody>
    </xdr:sp>
    <xdr:clientData/>
  </xdr:twoCellAnchor>
  <xdr:twoCellAnchor editAs="absolute">
    <xdr:from>
      <xdr:col>0</xdr:col>
      <xdr:colOff>238125</xdr:colOff>
      <xdr:row>14</xdr:row>
      <xdr:rowOff>92528</xdr:rowOff>
    </xdr:from>
    <xdr:to>
      <xdr:col>0</xdr:col>
      <xdr:colOff>2398125</xdr:colOff>
      <xdr:row>16</xdr:row>
      <xdr:rowOff>37510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5A3049C-4818-470E-8089-AD90FC3688A3}"/>
            </a:ext>
          </a:extLst>
        </xdr:cNvPr>
        <xdr:cNvSpPr/>
      </xdr:nvSpPr>
      <xdr:spPr>
        <a:xfrm>
          <a:off x="238125" y="3350078"/>
          <a:ext cx="2160000" cy="36408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VENDEDORES</a:t>
          </a:r>
        </a:p>
      </xdr:txBody>
    </xdr:sp>
    <xdr:clientData/>
  </xdr:twoCellAnchor>
  <xdr:twoCellAnchor editAs="absolute">
    <xdr:from>
      <xdr:col>0</xdr:col>
      <xdr:colOff>238125</xdr:colOff>
      <xdr:row>16</xdr:row>
      <xdr:rowOff>112939</xdr:rowOff>
    </xdr:from>
    <xdr:to>
      <xdr:col>0</xdr:col>
      <xdr:colOff>2398125</xdr:colOff>
      <xdr:row>18</xdr:row>
      <xdr:rowOff>47036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DAC0AD5-58D8-46B2-AF1A-3DA55BEF5082}"/>
            </a:ext>
          </a:extLst>
        </xdr:cNvPr>
        <xdr:cNvSpPr/>
      </xdr:nvSpPr>
      <xdr:spPr>
        <a:xfrm>
          <a:off x="238125" y="3789589"/>
          <a:ext cx="2160000" cy="35319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VENDAS</a:t>
          </a:r>
        </a:p>
      </xdr:txBody>
    </xdr:sp>
    <xdr:clientData/>
  </xdr:twoCellAnchor>
  <xdr:twoCellAnchor>
    <xdr:from>
      <xdr:col>0</xdr:col>
      <xdr:colOff>2714624</xdr:colOff>
      <xdr:row>0</xdr:row>
      <xdr:rowOff>57150</xdr:rowOff>
    </xdr:from>
    <xdr:to>
      <xdr:col>3</xdr:col>
      <xdr:colOff>580799</xdr:colOff>
      <xdr:row>0</xdr:row>
      <xdr:rowOff>417150</xdr:rowOff>
    </xdr:to>
    <xdr:sp macro="" textlink="">
      <xdr:nvSpPr>
        <xdr:cNvPr id="8" name="Retângulo: Cantos Arredondado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02D687B-9A5D-49F0-BFFA-B1A1B445D237}"/>
            </a:ext>
          </a:extLst>
        </xdr:cNvPr>
        <xdr:cNvSpPr/>
      </xdr:nvSpPr>
      <xdr:spPr>
        <a:xfrm>
          <a:off x="2714624" y="57150"/>
          <a:ext cx="1942875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714375</xdr:colOff>
      <xdr:row>0</xdr:row>
      <xdr:rowOff>57150</xdr:rowOff>
    </xdr:from>
    <xdr:to>
      <xdr:col>3</xdr:col>
      <xdr:colOff>1876425</xdr:colOff>
      <xdr:row>0</xdr:row>
      <xdr:rowOff>419100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BC28224F-31C0-405B-AA77-BCDC6FCD5606}"/>
            </a:ext>
          </a:extLst>
        </xdr:cNvPr>
        <xdr:cNvSpPr/>
      </xdr:nvSpPr>
      <xdr:spPr>
        <a:xfrm>
          <a:off x="4791075" y="57150"/>
          <a:ext cx="1162050" cy="36195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ESTOQUE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365625</xdr:colOff>
      <xdr:row>0</xdr:row>
      <xdr:rowOff>342900</xdr:rowOff>
    </xdr:from>
    <xdr:to>
      <xdr:col>0</xdr:col>
      <xdr:colOff>2270625</xdr:colOff>
      <xdr:row>10</xdr:row>
      <xdr:rowOff>28575</xdr:rowOff>
    </xdr:to>
    <xdr:sp macro="" textlink="">
      <xdr:nvSpPr>
        <xdr:cNvPr id="2" name="Elipse 1">
          <a:extLst>
            <a:ext uri="{FF2B5EF4-FFF2-40B4-BE49-F238E27FC236}">
              <a16:creationId xmlns:a16="http://schemas.microsoft.com/office/drawing/2014/main" id="{6B7C9486-D304-4AE2-AE85-A3D266F5084B}"/>
            </a:ext>
          </a:extLst>
        </xdr:cNvPr>
        <xdr:cNvSpPr/>
      </xdr:nvSpPr>
      <xdr:spPr>
        <a:xfrm>
          <a:off x="365625" y="342900"/>
          <a:ext cx="1905000" cy="1905000"/>
        </a:xfrm>
        <a:prstGeom prst="ellipse">
          <a:avLst/>
        </a:prstGeom>
        <a:ln w="762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646613</xdr:colOff>
      <xdr:row>1</xdr:row>
      <xdr:rowOff>180975</xdr:rowOff>
    </xdr:from>
    <xdr:to>
      <xdr:col>0</xdr:col>
      <xdr:colOff>1989638</xdr:colOff>
      <xdr:row>8</xdr:row>
      <xdr:rowOff>171450</xdr:rowOff>
    </xdr:to>
    <xdr:pic>
      <xdr:nvPicPr>
        <xdr:cNvPr id="3" name="Gráfico 2">
          <a:extLst>
            <a:ext uri="{FF2B5EF4-FFF2-40B4-BE49-F238E27FC236}">
              <a16:creationId xmlns:a16="http://schemas.microsoft.com/office/drawing/2014/main" id="{187AC9D5-49A0-4C41-A214-0E4787A18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6613" y="685800"/>
          <a:ext cx="1343025" cy="1343025"/>
        </a:xfrm>
        <a:prstGeom prst="rect">
          <a:avLst/>
        </a:prstGeom>
      </xdr:spPr>
    </xdr:pic>
    <xdr:clientData/>
  </xdr:twoCellAnchor>
  <xdr:twoCellAnchor editAs="absolute">
    <xdr:from>
      <xdr:col>0</xdr:col>
      <xdr:colOff>238125</xdr:colOff>
      <xdr:row>11</xdr:row>
      <xdr:rowOff>57150</xdr:rowOff>
    </xdr:from>
    <xdr:to>
      <xdr:col>0</xdr:col>
      <xdr:colOff>2398125</xdr:colOff>
      <xdr:row>13</xdr:row>
      <xdr:rowOff>26625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3E3568B-792C-4E56-AF9B-08411B1736F5}"/>
            </a:ext>
          </a:extLst>
        </xdr:cNvPr>
        <xdr:cNvSpPr/>
      </xdr:nvSpPr>
      <xdr:spPr>
        <a:xfrm>
          <a:off x="238125" y="2505075"/>
          <a:ext cx="216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PÁGINA</a:t>
          </a:r>
          <a:r>
            <a:rPr lang="pt-BR" sz="1400" b="1" baseline="0">
              <a:solidFill>
                <a:sysClr val="windowText" lastClr="000000"/>
              </a:solidFill>
            </a:rPr>
            <a:t> INICIAL</a:t>
          </a:r>
          <a:endParaRPr lang="pt-BR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238125</xdr:colOff>
      <xdr:row>13</xdr:row>
      <xdr:rowOff>95250</xdr:rowOff>
    </xdr:from>
    <xdr:to>
      <xdr:col>0</xdr:col>
      <xdr:colOff>2398125</xdr:colOff>
      <xdr:row>15</xdr:row>
      <xdr:rowOff>55200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0330D4F-377F-4154-A864-D60A0250CFFA}"/>
            </a:ext>
          </a:extLst>
        </xdr:cNvPr>
        <xdr:cNvSpPr/>
      </xdr:nvSpPr>
      <xdr:spPr>
        <a:xfrm>
          <a:off x="238125" y="2933700"/>
          <a:ext cx="216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PRODUTOS</a:t>
          </a:r>
        </a:p>
      </xdr:txBody>
    </xdr:sp>
    <xdr:clientData/>
  </xdr:twoCellAnchor>
  <xdr:twoCellAnchor editAs="absolute">
    <xdr:from>
      <xdr:col>0</xdr:col>
      <xdr:colOff>238125</xdr:colOff>
      <xdr:row>15</xdr:row>
      <xdr:rowOff>123825</xdr:rowOff>
    </xdr:from>
    <xdr:to>
      <xdr:col>0</xdr:col>
      <xdr:colOff>2398125</xdr:colOff>
      <xdr:row>17</xdr:row>
      <xdr:rowOff>93300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B11F5EE-5228-4AD7-A572-5A94582F3D6C}"/>
            </a:ext>
          </a:extLst>
        </xdr:cNvPr>
        <xdr:cNvSpPr/>
      </xdr:nvSpPr>
      <xdr:spPr>
        <a:xfrm>
          <a:off x="238125" y="3362325"/>
          <a:ext cx="2160000" cy="36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VENDEDORES</a:t>
          </a:r>
        </a:p>
      </xdr:txBody>
    </xdr:sp>
    <xdr:clientData/>
  </xdr:twoCellAnchor>
  <xdr:twoCellAnchor editAs="absolute">
    <xdr:from>
      <xdr:col>0</xdr:col>
      <xdr:colOff>238125</xdr:colOff>
      <xdr:row>17</xdr:row>
      <xdr:rowOff>161925</xdr:rowOff>
    </xdr:from>
    <xdr:to>
      <xdr:col>0</xdr:col>
      <xdr:colOff>2398125</xdr:colOff>
      <xdr:row>21</xdr:row>
      <xdr:rowOff>140925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4D47CB6-9C93-4202-B864-EF07F070C713}"/>
            </a:ext>
          </a:extLst>
        </xdr:cNvPr>
        <xdr:cNvSpPr/>
      </xdr:nvSpPr>
      <xdr:spPr>
        <a:xfrm>
          <a:off x="238125" y="3790950"/>
          <a:ext cx="216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VENDAS</a:t>
          </a:r>
        </a:p>
      </xdr:txBody>
    </xdr:sp>
    <xdr:clientData/>
  </xdr:twoCellAnchor>
  <xdr:twoCellAnchor editAs="absolute">
    <xdr:from>
      <xdr:col>2</xdr:col>
      <xdr:colOff>9526</xdr:colOff>
      <xdr:row>0</xdr:row>
      <xdr:rowOff>76200</xdr:rowOff>
    </xdr:from>
    <xdr:to>
      <xdr:col>4</xdr:col>
      <xdr:colOff>638176</xdr:colOff>
      <xdr:row>0</xdr:row>
      <xdr:rowOff>438150</xdr:rowOff>
    </xdr:to>
    <xdr:sp macro="" textlink="">
      <xdr:nvSpPr>
        <xdr:cNvPr id="8" name="Retângulo: Cantos Arredondado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670F3D7-2462-42E3-B067-AEE09B49167F}"/>
            </a:ext>
          </a:extLst>
        </xdr:cNvPr>
        <xdr:cNvSpPr/>
      </xdr:nvSpPr>
      <xdr:spPr>
        <a:xfrm>
          <a:off x="3333751" y="76200"/>
          <a:ext cx="18478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</a:rPr>
            <a:t>GRÁFICO VENDEDOR</a:t>
          </a:r>
        </a:p>
      </xdr:txBody>
    </xdr:sp>
    <xdr:clientData/>
  </xdr:twoCellAnchor>
  <xdr:twoCellAnchor editAs="absolute">
    <xdr:from>
      <xdr:col>4</xdr:col>
      <xdr:colOff>714376</xdr:colOff>
      <xdr:row>0</xdr:row>
      <xdr:rowOff>76200</xdr:rowOff>
    </xdr:from>
    <xdr:to>
      <xdr:col>6</xdr:col>
      <xdr:colOff>114301</xdr:colOff>
      <xdr:row>0</xdr:row>
      <xdr:rowOff>438150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22F8E6C7-0DCF-45FB-A5E6-DEEB6020F65F}"/>
            </a:ext>
          </a:extLst>
        </xdr:cNvPr>
        <xdr:cNvSpPr/>
      </xdr:nvSpPr>
      <xdr:spPr>
        <a:xfrm>
          <a:off x="5257801" y="76200"/>
          <a:ext cx="182880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</a:rPr>
            <a:t>GRÁFICO PERÍODO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365625</xdr:colOff>
      <xdr:row>0</xdr:row>
      <xdr:rowOff>342900</xdr:rowOff>
    </xdr:from>
    <xdr:to>
      <xdr:col>0</xdr:col>
      <xdr:colOff>2270625</xdr:colOff>
      <xdr:row>10</xdr:row>
      <xdr:rowOff>28575</xdr:rowOff>
    </xdr:to>
    <xdr:sp macro="" textlink="">
      <xdr:nvSpPr>
        <xdr:cNvPr id="2" name="Elipse 1">
          <a:extLst>
            <a:ext uri="{FF2B5EF4-FFF2-40B4-BE49-F238E27FC236}">
              <a16:creationId xmlns:a16="http://schemas.microsoft.com/office/drawing/2014/main" id="{55F48CC0-CB70-4F21-811E-4D3AF3BE0DDD}"/>
            </a:ext>
          </a:extLst>
        </xdr:cNvPr>
        <xdr:cNvSpPr/>
      </xdr:nvSpPr>
      <xdr:spPr>
        <a:xfrm>
          <a:off x="365625" y="342900"/>
          <a:ext cx="1905000" cy="1933575"/>
        </a:xfrm>
        <a:prstGeom prst="ellipse">
          <a:avLst/>
        </a:prstGeom>
        <a:ln w="762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646613</xdr:colOff>
      <xdr:row>1</xdr:row>
      <xdr:rowOff>180975</xdr:rowOff>
    </xdr:from>
    <xdr:to>
      <xdr:col>0</xdr:col>
      <xdr:colOff>1989638</xdr:colOff>
      <xdr:row>8</xdr:row>
      <xdr:rowOff>161925</xdr:rowOff>
    </xdr:to>
    <xdr:pic>
      <xdr:nvPicPr>
        <xdr:cNvPr id="3" name="Gráfico 2">
          <a:extLst>
            <a:ext uri="{FF2B5EF4-FFF2-40B4-BE49-F238E27FC236}">
              <a16:creationId xmlns:a16="http://schemas.microsoft.com/office/drawing/2014/main" id="{E96AA948-1E0C-4061-A596-F68A5E195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6613" y="685800"/>
          <a:ext cx="1343025" cy="1343025"/>
        </a:xfrm>
        <a:prstGeom prst="rect">
          <a:avLst/>
        </a:prstGeom>
      </xdr:spPr>
    </xdr:pic>
    <xdr:clientData/>
  </xdr:twoCellAnchor>
  <xdr:twoCellAnchor editAs="absolute">
    <xdr:from>
      <xdr:col>0</xdr:col>
      <xdr:colOff>238125</xdr:colOff>
      <xdr:row>11</xdr:row>
      <xdr:rowOff>57150</xdr:rowOff>
    </xdr:from>
    <xdr:to>
      <xdr:col>0</xdr:col>
      <xdr:colOff>2398125</xdr:colOff>
      <xdr:row>13</xdr:row>
      <xdr:rowOff>36150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12B124F-F962-43F3-925C-1C8F8DEF1E51}"/>
            </a:ext>
          </a:extLst>
        </xdr:cNvPr>
        <xdr:cNvSpPr/>
      </xdr:nvSpPr>
      <xdr:spPr>
        <a:xfrm>
          <a:off x="238125" y="2505075"/>
          <a:ext cx="216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PÁGINA</a:t>
          </a:r>
          <a:r>
            <a:rPr lang="pt-BR" sz="1400" b="1" baseline="0">
              <a:solidFill>
                <a:sysClr val="windowText" lastClr="000000"/>
              </a:solidFill>
            </a:rPr>
            <a:t> INICIAL</a:t>
          </a:r>
          <a:endParaRPr lang="pt-BR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238125</xdr:colOff>
      <xdr:row>13</xdr:row>
      <xdr:rowOff>104775</xdr:rowOff>
    </xdr:from>
    <xdr:to>
      <xdr:col>0</xdr:col>
      <xdr:colOff>2398125</xdr:colOff>
      <xdr:row>15</xdr:row>
      <xdr:rowOff>74250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D2D6B2D-9FF6-4B59-994F-B8718AB21508}"/>
            </a:ext>
          </a:extLst>
        </xdr:cNvPr>
        <xdr:cNvSpPr/>
      </xdr:nvSpPr>
      <xdr:spPr>
        <a:xfrm>
          <a:off x="238125" y="2933700"/>
          <a:ext cx="216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PRODUTOS</a:t>
          </a:r>
        </a:p>
      </xdr:txBody>
    </xdr:sp>
    <xdr:clientData/>
  </xdr:twoCellAnchor>
  <xdr:twoCellAnchor editAs="absolute">
    <xdr:from>
      <xdr:col>0</xdr:col>
      <xdr:colOff>238125</xdr:colOff>
      <xdr:row>15</xdr:row>
      <xdr:rowOff>142875</xdr:rowOff>
    </xdr:from>
    <xdr:to>
      <xdr:col>0</xdr:col>
      <xdr:colOff>2398125</xdr:colOff>
      <xdr:row>17</xdr:row>
      <xdr:rowOff>112350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DC6109FA-B24D-4891-B860-33BA2BFA34A3}"/>
            </a:ext>
          </a:extLst>
        </xdr:cNvPr>
        <xdr:cNvSpPr/>
      </xdr:nvSpPr>
      <xdr:spPr>
        <a:xfrm>
          <a:off x="238125" y="3362325"/>
          <a:ext cx="2160000" cy="36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VENDEDORES</a:t>
          </a:r>
        </a:p>
      </xdr:txBody>
    </xdr:sp>
    <xdr:clientData/>
  </xdr:twoCellAnchor>
  <xdr:twoCellAnchor editAs="absolute">
    <xdr:from>
      <xdr:col>0</xdr:col>
      <xdr:colOff>238125</xdr:colOff>
      <xdr:row>17</xdr:row>
      <xdr:rowOff>180975</xdr:rowOff>
    </xdr:from>
    <xdr:to>
      <xdr:col>0</xdr:col>
      <xdr:colOff>2398125</xdr:colOff>
      <xdr:row>19</xdr:row>
      <xdr:rowOff>159975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1488A03-CCCE-4D26-BCFD-D99FA3F140C2}"/>
            </a:ext>
          </a:extLst>
        </xdr:cNvPr>
        <xdr:cNvSpPr/>
      </xdr:nvSpPr>
      <xdr:spPr>
        <a:xfrm>
          <a:off x="238125" y="3790950"/>
          <a:ext cx="216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VENDAS</a:t>
          </a:r>
        </a:p>
      </xdr:txBody>
    </xdr:sp>
    <xdr:clientData/>
  </xdr:twoCellAnchor>
  <xdr:twoCellAnchor editAs="absolute">
    <xdr:from>
      <xdr:col>2</xdr:col>
      <xdr:colOff>9525</xdr:colOff>
      <xdr:row>0</xdr:row>
      <xdr:rowOff>76200</xdr:rowOff>
    </xdr:from>
    <xdr:to>
      <xdr:col>4</xdr:col>
      <xdr:colOff>314325</xdr:colOff>
      <xdr:row>0</xdr:row>
      <xdr:rowOff>438150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6427D0EC-F25C-46D8-903D-0BFC4BFDA014}"/>
            </a:ext>
          </a:extLst>
        </xdr:cNvPr>
        <xdr:cNvSpPr/>
      </xdr:nvSpPr>
      <xdr:spPr>
        <a:xfrm>
          <a:off x="3333750" y="76200"/>
          <a:ext cx="2028825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</a:rPr>
            <a:t>GRÁFICO VENDEDOR</a:t>
          </a:r>
        </a:p>
      </xdr:txBody>
    </xdr:sp>
    <xdr:clientData/>
  </xdr:twoCellAnchor>
  <xdr:twoCellAnchor>
    <xdr:from>
      <xdr:col>1</xdr:col>
      <xdr:colOff>219075</xdr:colOff>
      <xdr:row>5</xdr:row>
      <xdr:rowOff>157161</xdr:rowOff>
    </xdr:from>
    <xdr:to>
      <xdr:col>14</xdr:col>
      <xdr:colOff>238125</xdr:colOff>
      <xdr:row>25</xdr:row>
      <xdr:rowOff>28574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11D96898-C68C-4C58-92E1-1BD559E9FA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365625</xdr:colOff>
      <xdr:row>0</xdr:row>
      <xdr:rowOff>342900</xdr:rowOff>
    </xdr:from>
    <xdr:to>
      <xdr:col>0</xdr:col>
      <xdr:colOff>2270625</xdr:colOff>
      <xdr:row>11</xdr:row>
      <xdr:rowOff>104175</xdr:rowOff>
    </xdr:to>
    <xdr:sp macro="" textlink="">
      <xdr:nvSpPr>
        <xdr:cNvPr id="2" name="Elipse 1">
          <a:extLst>
            <a:ext uri="{FF2B5EF4-FFF2-40B4-BE49-F238E27FC236}">
              <a16:creationId xmlns:a16="http://schemas.microsoft.com/office/drawing/2014/main" id="{2654C42D-7D4E-4C90-8DA1-2EAD646B4D4A}"/>
            </a:ext>
          </a:extLst>
        </xdr:cNvPr>
        <xdr:cNvSpPr/>
      </xdr:nvSpPr>
      <xdr:spPr>
        <a:xfrm>
          <a:off x="365625" y="342900"/>
          <a:ext cx="1905000" cy="1904400"/>
        </a:xfrm>
        <a:prstGeom prst="ellipse">
          <a:avLst/>
        </a:prstGeom>
        <a:ln w="762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646613</xdr:colOff>
      <xdr:row>1</xdr:row>
      <xdr:rowOff>180975</xdr:rowOff>
    </xdr:from>
    <xdr:to>
      <xdr:col>0</xdr:col>
      <xdr:colOff>1989638</xdr:colOff>
      <xdr:row>10</xdr:row>
      <xdr:rowOff>29936</xdr:rowOff>
    </xdr:to>
    <xdr:pic>
      <xdr:nvPicPr>
        <xdr:cNvPr id="3" name="Gráfico 2">
          <a:extLst>
            <a:ext uri="{FF2B5EF4-FFF2-40B4-BE49-F238E27FC236}">
              <a16:creationId xmlns:a16="http://schemas.microsoft.com/office/drawing/2014/main" id="{4C504584-0CB2-43D0-B0CE-DDD35D7E2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6613" y="685800"/>
          <a:ext cx="1343025" cy="1343025"/>
        </a:xfrm>
        <a:prstGeom prst="rect">
          <a:avLst/>
        </a:prstGeom>
      </xdr:spPr>
    </xdr:pic>
    <xdr:clientData/>
  </xdr:twoCellAnchor>
  <xdr:twoCellAnchor editAs="absolute">
    <xdr:from>
      <xdr:col>0</xdr:col>
      <xdr:colOff>238125</xdr:colOff>
      <xdr:row>13</xdr:row>
      <xdr:rowOff>125186</xdr:rowOff>
    </xdr:from>
    <xdr:to>
      <xdr:col>0</xdr:col>
      <xdr:colOff>2398125</xdr:colOff>
      <xdr:row>15</xdr:row>
      <xdr:rowOff>139041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42041F5-5F72-4A20-BEF8-89A434593E51}"/>
            </a:ext>
          </a:extLst>
        </xdr:cNvPr>
        <xdr:cNvSpPr/>
      </xdr:nvSpPr>
      <xdr:spPr>
        <a:xfrm>
          <a:off x="238125" y="2505075"/>
          <a:ext cx="216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PÁGINA</a:t>
          </a:r>
          <a:r>
            <a:rPr lang="pt-BR" sz="1400" b="1" baseline="0">
              <a:solidFill>
                <a:sysClr val="windowText" lastClr="000000"/>
              </a:solidFill>
            </a:rPr>
            <a:t> INICIAL</a:t>
          </a:r>
          <a:endParaRPr lang="pt-BR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238125</xdr:colOff>
      <xdr:row>16</xdr:row>
      <xdr:rowOff>48985</xdr:rowOff>
    </xdr:from>
    <xdr:to>
      <xdr:col>0</xdr:col>
      <xdr:colOff>2398125</xdr:colOff>
      <xdr:row>18</xdr:row>
      <xdr:rowOff>123235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9DD892A1-4866-4E28-9B8F-FA570BAB0964}"/>
            </a:ext>
          </a:extLst>
        </xdr:cNvPr>
        <xdr:cNvSpPr/>
      </xdr:nvSpPr>
      <xdr:spPr>
        <a:xfrm>
          <a:off x="238125" y="2933700"/>
          <a:ext cx="2160000" cy="36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PRODUTOS</a:t>
          </a:r>
        </a:p>
      </xdr:txBody>
    </xdr:sp>
    <xdr:clientData/>
  </xdr:twoCellAnchor>
  <xdr:twoCellAnchor editAs="absolute">
    <xdr:from>
      <xdr:col>0</xdr:col>
      <xdr:colOff>238125</xdr:colOff>
      <xdr:row>19</xdr:row>
      <xdr:rowOff>35378</xdr:rowOff>
    </xdr:from>
    <xdr:to>
      <xdr:col>0</xdr:col>
      <xdr:colOff>2398125</xdr:colOff>
      <xdr:row>21</xdr:row>
      <xdr:rowOff>113710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280D327-7249-45FE-B518-A4FBFEF3F0F1}"/>
            </a:ext>
          </a:extLst>
        </xdr:cNvPr>
        <xdr:cNvSpPr/>
      </xdr:nvSpPr>
      <xdr:spPr>
        <a:xfrm>
          <a:off x="238125" y="3362325"/>
          <a:ext cx="216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VENDEDORES</a:t>
          </a:r>
        </a:p>
      </xdr:txBody>
    </xdr:sp>
    <xdr:clientData/>
  </xdr:twoCellAnchor>
  <xdr:twoCellAnchor editAs="absolute">
    <xdr:from>
      <xdr:col>0</xdr:col>
      <xdr:colOff>238125</xdr:colOff>
      <xdr:row>21</xdr:row>
      <xdr:rowOff>189139</xdr:rowOff>
    </xdr:from>
    <xdr:to>
      <xdr:col>0</xdr:col>
      <xdr:colOff>2398125</xdr:colOff>
      <xdr:row>23</xdr:row>
      <xdr:rowOff>151811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BA49E54-B547-4CAD-B45E-9185D39B4B27}"/>
            </a:ext>
          </a:extLst>
        </xdr:cNvPr>
        <xdr:cNvSpPr/>
      </xdr:nvSpPr>
      <xdr:spPr>
        <a:xfrm>
          <a:off x="238125" y="3790950"/>
          <a:ext cx="216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VENDAS</a:t>
          </a:r>
        </a:p>
      </xdr:txBody>
    </xdr:sp>
    <xdr:clientData/>
  </xdr:twoCellAnchor>
  <xdr:twoCellAnchor>
    <xdr:from>
      <xdr:col>0</xdr:col>
      <xdr:colOff>2714624</xdr:colOff>
      <xdr:row>0</xdr:row>
      <xdr:rowOff>57150</xdr:rowOff>
    </xdr:from>
    <xdr:to>
      <xdr:col>3</xdr:col>
      <xdr:colOff>580799</xdr:colOff>
      <xdr:row>0</xdr:row>
      <xdr:rowOff>417150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D4785BD7-8293-4B18-8D7D-3D88111960A6}"/>
            </a:ext>
          </a:extLst>
        </xdr:cNvPr>
        <xdr:cNvSpPr/>
      </xdr:nvSpPr>
      <xdr:spPr>
        <a:xfrm>
          <a:off x="2714624" y="57150"/>
          <a:ext cx="1800000" cy="36000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>
    <xdr:from>
      <xdr:col>5</xdr:col>
      <xdr:colOff>285748</xdr:colOff>
      <xdr:row>22</xdr:row>
      <xdr:rowOff>38100</xdr:rowOff>
    </xdr:from>
    <xdr:to>
      <xdr:col>8</xdr:col>
      <xdr:colOff>409574</xdr:colOff>
      <xdr:row>24</xdr:row>
      <xdr:rowOff>7575</xdr:rowOff>
    </xdr:to>
    <xdr:sp macro="[0]!CADASTRAR_LANÇAMENTOS_PRODUTOS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3D9D11AF-7BE7-481C-B675-B61C59302C09}"/>
            </a:ext>
          </a:extLst>
        </xdr:cNvPr>
        <xdr:cNvSpPr/>
      </xdr:nvSpPr>
      <xdr:spPr>
        <a:xfrm>
          <a:off x="5581648" y="3838575"/>
          <a:ext cx="2266951" cy="360000"/>
        </a:xfrm>
        <a:prstGeom prst="roundRect">
          <a:avLst>
            <a:gd name="adj" fmla="val 7778"/>
          </a:avLst>
        </a:prstGeom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LANÇAR EM</a:t>
          </a:r>
          <a:r>
            <a:rPr lang="pt-BR" sz="1400" b="1" baseline="0">
              <a:solidFill>
                <a:sysClr val="windowText" lastClr="000000"/>
              </a:solidFill>
            </a:rPr>
            <a:t> ESTOQUE</a:t>
          </a:r>
          <a:endParaRPr lang="pt-BR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104775</xdr:colOff>
      <xdr:row>0</xdr:row>
      <xdr:rowOff>57150</xdr:rowOff>
    </xdr:from>
    <xdr:to>
      <xdr:col>6</xdr:col>
      <xdr:colOff>47625</xdr:colOff>
      <xdr:row>0</xdr:row>
      <xdr:rowOff>419100</xdr:rowOff>
    </xdr:to>
    <xdr:sp macro="" textlink="">
      <xdr:nvSpPr>
        <xdr:cNvPr id="10" name="Retângulo: Cantos Arredondados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E5B1F91-5F37-42EE-8A27-BEE31B317F33}"/>
            </a:ext>
          </a:extLst>
        </xdr:cNvPr>
        <xdr:cNvSpPr/>
      </xdr:nvSpPr>
      <xdr:spPr>
        <a:xfrm>
          <a:off x="4791075" y="57150"/>
          <a:ext cx="11620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tx1"/>
              </a:solidFill>
            </a:rPr>
            <a:t>ESTOQUE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</xdr:colOff>
      <xdr:row>0</xdr:row>
      <xdr:rowOff>47625</xdr:rowOff>
    </xdr:from>
    <xdr:to>
      <xdr:col>9</xdr:col>
      <xdr:colOff>1343025</xdr:colOff>
      <xdr:row>1</xdr:row>
      <xdr:rowOff>133350</xdr:rowOff>
    </xdr:to>
    <xdr:sp macro="[0]!Limpar_Filt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9AC71C4-B374-4A77-A0F3-7C53BCF991AA}"/>
            </a:ext>
          </a:extLst>
        </xdr:cNvPr>
        <xdr:cNvSpPr/>
      </xdr:nvSpPr>
      <xdr:spPr>
        <a:xfrm>
          <a:off x="9258300" y="47625"/>
          <a:ext cx="1304925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limpar filtro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365625</xdr:colOff>
      <xdr:row>0</xdr:row>
      <xdr:rowOff>342900</xdr:rowOff>
    </xdr:from>
    <xdr:to>
      <xdr:col>0</xdr:col>
      <xdr:colOff>2270625</xdr:colOff>
      <xdr:row>13</xdr:row>
      <xdr:rowOff>28575</xdr:rowOff>
    </xdr:to>
    <xdr:sp macro="" textlink="">
      <xdr:nvSpPr>
        <xdr:cNvPr id="2" name="Elipse 1">
          <a:extLst>
            <a:ext uri="{FF2B5EF4-FFF2-40B4-BE49-F238E27FC236}">
              <a16:creationId xmlns:a16="http://schemas.microsoft.com/office/drawing/2014/main" id="{D8179899-BF2E-4DD1-AE6E-BDCD79D4BDCF}"/>
            </a:ext>
          </a:extLst>
        </xdr:cNvPr>
        <xdr:cNvSpPr/>
      </xdr:nvSpPr>
      <xdr:spPr>
        <a:xfrm>
          <a:off x="365625" y="342900"/>
          <a:ext cx="1905000" cy="1905000"/>
        </a:xfrm>
        <a:prstGeom prst="ellipse">
          <a:avLst/>
        </a:prstGeom>
        <a:ln w="762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646613</xdr:colOff>
      <xdr:row>1</xdr:row>
      <xdr:rowOff>28575</xdr:rowOff>
    </xdr:from>
    <xdr:to>
      <xdr:col>0</xdr:col>
      <xdr:colOff>1989638</xdr:colOff>
      <xdr:row>11</xdr:row>
      <xdr:rowOff>118696</xdr:rowOff>
    </xdr:to>
    <xdr:pic>
      <xdr:nvPicPr>
        <xdr:cNvPr id="3" name="Gráfico 2">
          <a:extLst>
            <a:ext uri="{FF2B5EF4-FFF2-40B4-BE49-F238E27FC236}">
              <a16:creationId xmlns:a16="http://schemas.microsoft.com/office/drawing/2014/main" id="{1184CA52-2735-4FEA-AF1F-D877ED3344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6613" y="533400"/>
          <a:ext cx="1343025" cy="1328371"/>
        </a:xfrm>
        <a:prstGeom prst="rect">
          <a:avLst/>
        </a:prstGeom>
      </xdr:spPr>
    </xdr:pic>
    <xdr:clientData/>
  </xdr:twoCellAnchor>
  <xdr:twoCellAnchor editAs="absolute">
    <xdr:from>
      <xdr:col>0</xdr:col>
      <xdr:colOff>238125</xdr:colOff>
      <xdr:row>15</xdr:row>
      <xdr:rowOff>187570</xdr:rowOff>
    </xdr:from>
    <xdr:to>
      <xdr:col>0</xdr:col>
      <xdr:colOff>2398125</xdr:colOff>
      <xdr:row>18</xdr:row>
      <xdr:rowOff>86706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18B6D5E-A651-4897-AFB4-6F6E84E79EAE}"/>
            </a:ext>
          </a:extLst>
        </xdr:cNvPr>
        <xdr:cNvSpPr/>
      </xdr:nvSpPr>
      <xdr:spPr>
        <a:xfrm>
          <a:off x="238125" y="2505075"/>
          <a:ext cx="216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PÁGINA</a:t>
          </a:r>
          <a:r>
            <a:rPr lang="pt-BR" sz="1400" b="1" baseline="0">
              <a:solidFill>
                <a:sysClr val="windowText" lastClr="000000"/>
              </a:solidFill>
            </a:rPr>
            <a:t> INICIAL</a:t>
          </a:r>
          <a:endParaRPr lang="pt-BR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238125</xdr:colOff>
      <xdr:row>18</xdr:row>
      <xdr:rowOff>155331</xdr:rowOff>
    </xdr:from>
    <xdr:to>
      <xdr:col>0</xdr:col>
      <xdr:colOff>2398125</xdr:colOff>
      <xdr:row>21</xdr:row>
      <xdr:rowOff>54468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B8D65BE-EBF0-47CA-8940-F5C6443B5DA2}"/>
            </a:ext>
          </a:extLst>
        </xdr:cNvPr>
        <xdr:cNvSpPr/>
      </xdr:nvSpPr>
      <xdr:spPr>
        <a:xfrm>
          <a:off x="238125" y="2933700"/>
          <a:ext cx="216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PRODUTOS</a:t>
          </a:r>
        </a:p>
      </xdr:txBody>
    </xdr:sp>
    <xdr:clientData/>
  </xdr:twoCellAnchor>
  <xdr:twoCellAnchor editAs="absolute">
    <xdr:from>
      <xdr:col>0</xdr:col>
      <xdr:colOff>238125</xdr:colOff>
      <xdr:row>21</xdr:row>
      <xdr:rowOff>119429</xdr:rowOff>
    </xdr:from>
    <xdr:to>
      <xdr:col>0</xdr:col>
      <xdr:colOff>2398125</xdr:colOff>
      <xdr:row>24</xdr:row>
      <xdr:rowOff>18566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BCD7D73-195D-41DC-BE94-8FDBBE2DC9FC}"/>
            </a:ext>
          </a:extLst>
        </xdr:cNvPr>
        <xdr:cNvSpPr/>
      </xdr:nvSpPr>
      <xdr:spPr>
        <a:xfrm>
          <a:off x="238125" y="3362325"/>
          <a:ext cx="216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VENDEDORES</a:t>
          </a:r>
        </a:p>
      </xdr:txBody>
    </xdr:sp>
    <xdr:clientData/>
  </xdr:twoCellAnchor>
  <xdr:twoCellAnchor editAs="absolute">
    <xdr:from>
      <xdr:col>0</xdr:col>
      <xdr:colOff>238125</xdr:colOff>
      <xdr:row>24</xdr:row>
      <xdr:rowOff>87191</xdr:rowOff>
    </xdr:from>
    <xdr:to>
      <xdr:col>0</xdr:col>
      <xdr:colOff>2398125</xdr:colOff>
      <xdr:row>26</xdr:row>
      <xdr:rowOff>106489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7C121D9-8F34-4E20-88C9-1884FB702731}"/>
            </a:ext>
          </a:extLst>
        </xdr:cNvPr>
        <xdr:cNvSpPr/>
      </xdr:nvSpPr>
      <xdr:spPr>
        <a:xfrm>
          <a:off x="238125" y="3790950"/>
          <a:ext cx="2160000" cy="36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VENDAS</a:t>
          </a:r>
        </a:p>
      </xdr:txBody>
    </xdr:sp>
    <xdr:clientData/>
  </xdr:twoCellAnchor>
  <xdr:twoCellAnchor>
    <xdr:from>
      <xdr:col>1</xdr:col>
      <xdr:colOff>571500</xdr:colOff>
      <xdr:row>24</xdr:row>
      <xdr:rowOff>120463</xdr:rowOff>
    </xdr:from>
    <xdr:to>
      <xdr:col>6</xdr:col>
      <xdr:colOff>522194</xdr:colOff>
      <xdr:row>27</xdr:row>
      <xdr:rowOff>28575</xdr:rowOff>
    </xdr:to>
    <xdr:sp macro="[0]!CADASTRAR_LANÇAMENTOS_VENDA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ABF8EB53-19B2-474A-82CF-82AAC36BAB2C}"/>
            </a:ext>
          </a:extLst>
        </xdr:cNvPr>
        <xdr:cNvSpPr/>
      </xdr:nvSpPr>
      <xdr:spPr>
        <a:xfrm>
          <a:off x="3286125" y="4625788"/>
          <a:ext cx="3246344" cy="43198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accent1">
                  <a:lumMod val="75000"/>
                </a:schemeClr>
              </a:solidFill>
            </a:rPr>
            <a:t>LANÇAR VENDA</a:t>
          </a:r>
        </a:p>
      </xdr:txBody>
    </xdr:sp>
    <xdr:clientData/>
  </xdr:twoCellAnchor>
  <xdr:oneCellAnchor>
    <xdr:from>
      <xdr:col>1</xdr:col>
      <xdr:colOff>520942</xdr:colOff>
      <xdr:row>0</xdr:row>
      <xdr:rowOff>0</xdr:rowOff>
    </xdr:from>
    <xdr:ext cx="2577630" cy="468013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32CD84B6-4DCB-4090-A3F1-9B52043142D9}"/>
            </a:ext>
          </a:extLst>
        </xdr:cNvPr>
        <xdr:cNvSpPr/>
      </xdr:nvSpPr>
      <xdr:spPr>
        <a:xfrm>
          <a:off x="3235567" y="0"/>
          <a:ext cx="2577630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Venda de produtos</a:t>
          </a: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ofessor Eugênio" refreshedDate="43486.844300115743" createdVersion="6" refreshedVersion="6" minRefreshableVersion="3" recordCount="34" xr:uid="{3044A327-7FEC-4147-9637-BDC84D572F9A}">
  <cacheSource type="worksheet">
    <worksheetSource ref="C3:L47" sheet="VENDAS_LANÇAMENTOS_TABELA"/>
  </cacheSource>
  <cacheFields count="12">
    <cacheField name="Data" numFmtId="14">
      <sharedItems containsSemiMixedTypes="0" containsNonDate="0" containsDate="1" containsString="0" minDate="2018-01-01T00:00:00" maxDate="2019-01-23T00:00:00" count="30">
        <d v="2019-01-05T00:00:00"/>
        <d v="2018-08-08T00:00:00"/>
        <d v="2018-08-12T00:00:00"/>
        <d v="2018-08-09T00:00:00"/>
        <d v="2018-08-06T00:00:00"/>
        <d v="2018-08-25T00:00:00"/>
        <d v="2018-07-21T00:00:00"/>
        <d v="2018-07-12T00:00:00"/>
        <d v="2018-07-05T00:00:00"/>
        <d v="2018-07-02T00:00:00"/>
        <d v="2018-06-15T00:00:00"/>
        <d v="2018-06-12T00:00:00"/>
        <d v="2018-06-06T00:00:00"/>
        <d v="2018-02-01T00:00:00"/>
        <d v="2019-01-06T00:00:00"/>
        <d v="2019-01-10T00:00:00"/>
        <d v="2018-01-01T00:00:00"/>
        <d v="2018-01-15T00:00:00"/>
        <d v="2018-07-15T00:00:00"/>
        <d v="2018-04-05T00:00:00"/>
        <d v="2019-01-09T00:00:00"/>
        <d v="2019-01-08T00:00:00"/>
        <d v="2019-01-18T00:00:00"/>
        <d v="2019-01-12T00:00:00"/>
        <d v="2018-05-06T00:00:00"/>
        <d v="2018-02-05T00:00:00"/>
        <d v="2018-01-08T00:00:00"/>
        <d v="2019-01-22T00:00:00"/>
        <d v="2018-05-16T00:00:00"/>
        <d v="2018-03-06T00:00:00"/>
      </sharedItems>
      <fieldGroup par="11" base="0">
        <rangePr groupBy="months" startDate="2018-01-01T00:00:00" endDate="2019-01-23T00:00:00"/>
        <groupItems count="14">
          <s v="&lt;01/01/2018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19"/>
        </groupItems>
      </fieldGroup>
    </cacheField>
    <cacheField name="mês" numFmtId="0">
      <sharedItems containsSemiMixedTypes="0" containsString="0" containsNumber="1" containsInteger="1" minValue="1" maxValue="8" count="8">
        <n v="1"/>
        <n v="8"/>
        <n v="7"/>
        <n v="6"/>
        <n v="2"/>
        <n v="4"/>
        <n v="5"/>
        <n v="3"/>
      </sharedItems>
    </cacheField>
    <cacheField name="ano" numFmtId="0">
      <sharedItems containsSemiMixedTypes="0" containsString="0" containsNumber="1" containsInteger="1" minValue="2018" maxValue="2019" count="2">
        <n v="2019"/>
        <n v="2018"/>
      </sharedItems>
    </cacheField>
    <cacheField name="Matrícula" numFmtId="0">
      <sharedItems containsSemiMixedTypes="0" containsString="0" containsNumber="1" containsInteger="1" minValue="100101" maxValue="100103" count="3">
        <n v="100101"/>
        <n v="100103"/>
        <n v="100102"/>
      </sharedItems>
    </cacheField>
    <cacheField name="vendedor" numFmtId="0">
      <sharedItems count="3">
        <s v="EUGÊNIO MÁRCIO"/>
        <s v="JOÃO PAULO"/>
        <s v="PAULA LINS"/>
      </sharedItems>
    </cacheField>
    <cacheField name="Código Produto" numFmtId="0">
      <sharedItems containsSemiMixedTypes="0" containsString="0" containsNumber="1" containsInteger="1" minValue="1011" maxValue="1018"/>
    </cacheField>
    <cacheField name="Produto" numFmtId="0">
      <sharedItems count="8">
        <s v="COMPUTADOR CORE i3 8GB"/>
        <s v="TV LED 32&quot; PHILCO "/>
        <s v="COMPUTADOR CORE i8 8GB"/>
        <s v="NOTEBOOK POSITIVO DUAL CORE 4GB"/>
        <s v="MOUSE GOLDENTEC"/>
        <s v="COMPUTADOR CORE I5 8GB "/>
        <s v="MONITOR LG 19&quot;"/>
        <s v="TECLADO GOLDENTEC ABNT2"/>
      </sharedItems>
    </cacheField>
    <cacheField name="Valor" numFmtId="165">
      <sharedItems containsSemiMixedTypes="0" containsString="0" containsNumber="1" minValue="20" maxValue="2200.9899999999998"/>
    </cacheField>
    <cacheField name="quantidade" numFmtId="0">
      <sharedItems containsSemiMixedTypes="0" containsString="0" containsNumber="1" containsInteger="1" minValue="6" maxValue="30"/>
    </cacheField>
    <cacheField name="Total" numFmtId="165">
      <sharedItems containsSemiMixedTypes="0" containsString="0" containsNumber="1" minValue="160" maxValue="50070"/>
    </cacheField>
    <cacheField name="Trimestres" numFmtId="0" databaseField="0">
      <fieldGroup base="0">
        <rangePr groupBy="quarters" startDate="2018-01-01T00:00:00" endDate="2019-01-23T00:00:00"/>
        <groupItems count="6">
          <s v="&lt;01/01/2018"/>
          <s v="Trim1"/>
          <s v="Trim2"/>
          <s v="Trim3"/>
          <s v="Trim4"/>
          <s v="&gt;23/01/2019"/>
        </groupItems>
      </fieldGroup>
    </cacheField>
    <cacheField name="Anos" numFmtId="0" databaseField="0">
      <fieldGroup base="0">
        <rangePr groupBy="years" startDate="2018-01-01T00:00:00" endDate="2019-01-23T00:00:00"/>
        <groupItems count="4">
          <s v="&lt;01/01/2018"/>
          <s v="2018"/>
          <s v="2019"/>
          <s v="&gt;23/01/201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x v="0"/>
    <x v="0"/>
    <x v="0"/>
    <x v="0"/>
    <n v="1012"/>
    <x v="0"/>
    <n v="1350"/>
    <n v="16"/>
    <n v="21600"/>
  </r>
  <r>
    <x v="1"/>
    <x v="1"/>
    <x v="1"/>
    <x v="1"/>
    <x v="1"/>
    <n v="1017"/>
    <x v="1"/>
    <n v="879.99"/>
    <n v="8"/>
    <n v="7039.92"/>
  </r>
  <r>
    <x v="2"/>
    <x v="1"/>
    <x v="1"/>
    <x v="1"/>
    <x v="1"/>
    <n v="1018"/>
    <x v="2"/>
    <n v="2200.9899999999998"/>
    <n v="9"/>
    <n v="19808.909999999996"/>
  </r>
  <r>
    <x v="3"/>
    <x v="1"/>
    <x v="1"/>
    <x v="1"/>
    <x v="1"/>
    <n v="1017"/>
    <x v="1"/>
    <n v="879.99"/>
    <n v="11"/>
    <n v="9679.89"/>
  </r>
  <r>
    <x v="4"/>
    <x v="1"/>
    <x v="1"/>
    <x v="1"/>
    <x v="1"/>
    <n v="1017"/>
    <x v="1"/>
    <n v="879.99"/>
    <n v="13"/>
    <n v="11439.87"/>
  </r>
  <r>
    <x v="5"/>
    <x v="1"/>
    <x v="1"/>
    <x v="1"/>
    <x v="1"/>
    <n v="1016"/>
    <x v="3"/>
    <n v="1249.99"/>
    <n v="7"/>
    <n v="8749.93"/>
  </r>
  <r>
    <x v="6"/>
    <x v="2"/>
    <x v="1"/>
    <x v="1"/>
    <x v="1"/>
    <n v="1015"/>
    <x v="4"/>
    <n v="20"/>
    <n v="18"/>
    <n v="360"/>
  </r>
  <r>
    <x v="7"/>
    <x v="2"/>
    <x v="1"/>
    <x v="1"/>
    <x v="1"/>
    <n v="1016"/>
    <x v="3"/>
    <n v="1249.99"/>
    <n v="7"/>
    <n v="8749.93"/>
  </r>
  <r>
    <x v="8"/>
    <x v="2"/>
    <x v="1"/>
    <x v="1"/>
    <x v="1"/>
    <n v="1016"/>
    <x v="3"/>
    <n v="1249.99"/>
    <n v="17"/>
    <n v="21249.83"/>
  </r>
  <r>
    <x v="9"/>
    <x v="2"/>
    <x v="1"/>
    <x v="1"/>
    <x v="1"/>
    <n v="1018"/>
    <x v="2"/>
    <n v="2200.9899999999998"/>
    <n v="15"/>
    <n v="33014.85"/>
  </r>
  <r>
    <x v="10"/>
    <x v="3"/>
    <x v="1"/>
    <x v="1"/>
    <x v="1"/>
    <n v="1017"/>
    <x v="1"/>
    <n v="879.99"/>
    <n v="25"/>
    <n v="21999.75"/>
  </r>
  <r>
    <x v="11"/>
    <x v="3"/>
    <x v="1"/>
    <x v="1"/>
    <x v="1"/>
    <n v="1012"/>
    <x v="0"/>
    <n v="1350"/>
    <n v="25"/>
    <n v="33750"/>
  </r>
  <r>
    <x v="12"/>
    <x v="3"/>
    <x v="1"/>
    <x v="1"/>
    <x v="1"/>
    <n v="1015"/>
    <x v="4"/>
    <n v="20"/>
    <n v="20"/>
    <n v="400"/>
  </r>
  <r>
    <x v="13"/>
    <x v="4"/>
    <x v="1"/>
    <x v="1"/>
    <x v="1"/>
    <n v="1011"/>
    <x v="5"/>
    <n v="1669"/>
    <n v="6"/>
    <n v="10014"/>
  </r>
  <r>
    <x v="14"/>
    <x v="0"/>
    <x v="0"/>
    <x v="2"/>
    <x v="2"/>
    <n v="1011"/>
    <x v="5"/>
    <n v="1669"/>
    <n v="30"/>
    <n v="50070"/>
  </r>
  <r>
    <x v="15"/>
    <x v="0"/>
    <x v="0"/>
    <x v="2"/>
    <x v="2"/>
    <n v="1011"/>
    <x v="5"/>
    <n v="1669"/>
    <n v="15"/>
    <n v="25035"/>
  </r>
  <r>
    <x v="16"/>
    <x v="0"/>
    <x v="1"/>
    <x v="0"/>
    <x v="0"/>
    <n v="1011"/>
    <x v="5"/>
    <n v="1669"/>
    <n v="20"/>
    <n v="33380"/>
  </r>
  <r>
    <x v="17"/>
    <x v="0"/>
    <x v="1"/>
    <x v="0"/>
    <x v="0"/>
    <n v="1011"/>
    <x v="5"/>
    <n v="1669"/>
    <n v="10"/>
    <n v="16690"/>
  </r>
  <r>
    <x v="18"/>
    <x v="2"/>
    <x v="1"/>
    <x v="1"/>
    <x v="1"/>
    <n v="1018"/>
    <x v="2"/>
    <n v="2200.9899999999998"/>
    <n v="20"/>
    <n v="44019.799999999996"/>
  </r>
  <r>
    <x v="19"/>
    <x v="5"/>
    <x v="1"/>
    <x v="1"/>
    <x v="1"/>
    <n v="1018"/>
    <x v="2"/>
    <n v="2200.9899999999998"/>
    <n v="12"/>
    <n v="26411.879999999997"/>
  </r>
  <r>
    <x v="20"/>
    <x v="0"/>
    <x v="0"/>
    <x v="2"/>
    <x v="2"/>
    <n v="1018"/>
    <x v="2"/>
    <n v="2200.9899999999998"/>
    <n v="11"/>
    <n v="24210.89"/>
  </r>
  <r>
    <x v="21"/>
    <x v="0"/>
    <x v="0"/>
    <x v="2"/>
    <x v="2"/>
    <n v="1013"/>
    <x v="6"/>
    <n v="750"/>
    <n v="17"/>
    <n v="12750"/>
  </r>
  <r>
    <x v="21"/>
    <x v="0"/>
    <x v="0"/>
    <x v="0"/>
    <x v="0"/>
    <n v="1013"/>
    <x v="6"/>
    <n v="750"/>
    <n v="8"/>
    <n v="6000"/>
  </r>
  <r>
    <x v="22"/>
    <x v="0"/>
    <x v="0"/>
    <x v="1"/>
    <x v="1"/>
    <n v="1015"/>
    <x v="4"/>
    <n v="20"/>
    <n v="8"/>
    <n v="160"/>
  </r>
  <r>
    <x v="11"/>
    <x v="3"/>
    <x v="1"/>
    <x v="1"/>
    <x v="1"/>
    <n v="1016"/>
    <x v="3"/>
    <n v="1249.99"/>
    <n v="15"/>
    <n v="18749.849999999999"/>
  </r>
  <r>
    <x v="12"/>
    <x v="3"/>
    <x v="1"/>
    <x v="1"/>
    <x v="1"/>
    <n v="1016"/>
    <x v="3"/>
    <n v="1249.99"/>
    <n v="20"/>
    <n v="24999.8"/>
  </r>
  <r>
    <x v="23"/>
    <x v="0"/>
    <x v="0"/>
    <x v="2"/>
    <x v="2"/>
    <n v="1016"/>
    <x v="3"/>
    <n v="1249.99"/>
    <n v="18"/>
    <n v="22499.82"/>
  </r>
  <r>
    <x v="24"/>
    <x v="6"/>
    <x v="1"/>
    <x v="1"/>
    <x v="1"/>
    <n v="1014"/>
    <x v="7"/>
    <n v="35"/>
    <n v="8"/>
    <n v="280"/>
  </r>
  <r>
    <x v="25"/>
    <x v="4"/>
    <x v="1"/>
    <x v="1"/>
    <x v="1"/>
    <n v="1014"/>
    <x v="7"/>
    <n v="35"/>
    <n v="12"/>
    <n v="420"/>
  </r>
  <r>
    <x v="26"/>
    <x v="0"/>
    <x v="1"/>
    <x v="1"/>
    <x v="1"/>
    <n v="1014"/>
    <x v="7"/>
    <n v="35"/>
    <n v="6"/>
    <n v="210"/>
  </r>
  <r>
    <x v="14"/>
    <x v="0"/>
    <x v="0"/>
    <x v="1"/>
    <x v="1"/>
    <n v="1014"/>
    <x v="7"/>
    <n v="35"/>
    <n v="28"/>
    <n v="980"/>
  </r>
  <r>
    <x v="27"/>
    <x v="0"/>
    <x v="0"/>
    <x v="2"/>
    <x v="2"/>
    <n v="1014"/>
    <x v="7"/>
    <n v="35"/>
    <n v="28"/>
    <n v="980"/>
  </r>
  <r>
    <x v="28"/>
    <x v="6"/>
    <x v="1"/>
    <x v="1"/>
    <x v="1"/>
    <n v="1017"/>
    <x v="1"/>
    <n v="879.99"/>
    <n v="20"/>
    <n v="17599.8"/>
  </r>
  <r>
    <x v="29"/>
    <x v="7"/>
    <x v="1"/>
    <x v="1"/>
    <x v="1"/>
    <n v="1017"/>
    <x v="1"/>
    <n v="879.99"/>
    <n v="8"/>
    <n v="7039.9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35AC8F-B1B1-49E1-A319-79EACC089667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C23" firstHeaderRow="0" firstDataRow="1" firstDataCol="1" rowPageCount="2" colPageCount="1"/>
  <pivotFields count="12"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multipleItemSelectionAllowed="1" showAll="0">
      <items count="9">
        <item x="0"/>
        <item x="4"/>
        <item x="7"/>
        <item x="5"/>
        <item x="6"/>
        <item x="3"/>
        <item x="2"/>
        <item x="1"/>
        <item t="default"/>
      </items>
    </pivotField>
    <pivotField axis="axisPage" showAll="0">
      <items count="3">
        <item x="1"/>
        <item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axis="axisRow" showAll="0">
      <items count="9">
        <item x="0"/>
        <item x="5"/>
        <item x="2"/>
        <item x="6"/>
        <item x="4"/>
        <item x="3"/>
        <item x="7"/>
        <item x="1"/>
        <item t="default"/>
      </items>
    </pivotField>
    <pivotField numFmtId="165" showAll="0"/>
    <pivotField dataField="1" showAll="0"/>
    <pivotField dataField="1" numFmtId="165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2">
    <field x="4"/>
    <field x="6"/>
  </rowFields>
  <rowItems count="19">
    <i>
      <x/>
    </i>
    <i r="1">
      <x/>
    </i>
    <i r="1">
      <x v="1"/>
    </i>
    <i r="1">
      <x v="3"/>
    </i>
    <i>
      <x v="1"/>
    </i>
    <i r="1">
      <x/>
    </i>
    <i r="1">
      <x v="1"/>
    </i>
    <i r="1">
      <x v="2"/>
    </i>
    <i r="1">
      <x v="4"/>
    </i>
    <i r="1">
      <x v="5"/>
    </i>
    <i r="1">
      <x v="6"/>
    </i>
    <i r="1">
      <x v="7"/>
    </i>
    <i>
      <x v="2"/>
    </i>
    <i r="1">
      <x v="1"/>
    </i>
    <i r="1">
      <x v="2"/>
    </i>
    <i r="1">
      <x v="3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pageFields count="2">
    <pageField fld="2" hier="-1"/>
    <pageField fld="1" hier="-1"/>
  </pageFields>
  <dataFields count="2">
    <dataField name="Soma de quantidade" fld="8" baseField="0" baseItem="0"/>
    <dataField name="Soma de Total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6B946D-C054-4E2B-9538-4759EBC118DB}" name="Tabela dinâ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10" firstHeaderRow="0" firstDataRow="1" firstDataCol="1" rowPageCount="1" colPageCount="1"/>
  <pivotFields count="12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3">
        <item x="1"/>
        <item x="0"/>
        <item t="default"/>
      </items>
    </pivotField>
    <pivotField showAll="0">
      <items count="4">
        <item x="0"/>
        <item x="2"/>
        <item x="1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axis="axisRow" showAll="0">
      <items count="9">
        <item x="0"/>
        <item x="5"/>
        <item x="2"/>
        <item x="6"/>
        <item x="4"/>
        <item x="3"/>
        <item x="7"/>
        <item x="1"/>
        <item t="default"/>
      </items>
    </pivotField>
    <pivotField numFmtId="165" showAll="0"/>
    <pivotField dataField="1" showAll="0"/>
    <pivotField dataField="1" numFmtId="165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</pivotFields>
  <rowFields count="2">
    <field x="0"/>
    <field x="6"/>
  </rowFields>
  <rowItems count="7">
    <i>
      <x v="1"/>
    </i>
    <i r="1">
      <x v="1"/>
    </i>
    <i r="1">
      <x v="2"/>
    </i>
    <i r="1">
      <x v="3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pageFields count="1">
    <pageField fld="4" item="2" hier="-1"/>
  </pageFields>
  <dataFields count="2">
    <dataField name="Soma de quantidade" fld="8" baseField="0" baseItem="0"/>
    <dataField name="Soma de Total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27EAB-2F47-4983-88F0-53198C69E5FB}">
  <sheetPr codeName="Planilha1"/>
  <dimension ref="A1:A15"/>
  <sheetViews>
    <sheetView showGridLines="0" showRowColHeaders="0" workbookViewId="0">
      <selection activeCell="C7" sqref="C7"/>
    </sheetView>
  </sheetViews>
  <sheetFormatPr defaultRowHeight="15" x14ac:dyDescent="0.25"/>
  <cols>
    <col min="1" max="1" width="40.7109375" style="1" customWidth="1"/>
  </cols>
  <sheetData>
    <row r="1" s="1" customFormat="1" ht="39.950000000000003" customHeight="1" x14ac:dyDescent="0.25"/>
    <row r="8" ht="15" customHeight="1" x14ac:dyDescent="0.25"/>
    <row r="9" ht="15.75" customHeight="1" x14ac:dyDescent="0.25"/>
    <row r="11" ht="15" customHeight="1" x14ac:dyDescent="0.25"/>
    <row r="12" ht="15.75" customHeight="1" x14ac:dyDescent="0.25"/>
    <row r="14" ht="15" customHeight="1" x14ac:dyDescent="0.25"/>
    <row r="15" ht="15.75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9210B-BD0A-4C33-BB56-87A874EEBA08}">
  <sheetPr codeName="Planilha2"/>
  <dimension ref="A1:H21"/>
  <sheetViews>
    <sheetView showGridLines="0" showRowColHeaders="0" workbookViewId="0">
      <selection activeCell="C7" sqref="C7:D8"/>
    </sheetView>
  </sheetViews>
  <sheetFormatPr defaultRowHeight="15" x14ac:dyDescent="0.25"/>
  <cols>
    <col min="1" max="1" width="40.7109375" style="1" customWidth="1"/>
    <col min="2" max="4" width="9.140625" style="12"/>
    <col min="5" max="5" width="16.28515625" style="12" customWidth="1"/>
    <col min="6" max="6" width="29.42578125" style="12" customWidth="1"/>
    <col min="7" max="7" width="13.140625" style="12" customWidth="1"/>
    <col min="8" max="8" width="22.42578125" style="12" customWidth="1"/>
    <col min="9" max="16384" width="9.140625" style="12"/>
  </cols>
  <sheetData>
    <row r="1" spans="3:7" s="1" customFormat="1" ht="39.950000000000003" customHeight="1" x14ac:dyDescent="0.25"/>
    <row r="6" spans="3:7" ht="15.75" thickBot="1" x14ac:dyDescent="0.3">
      <c r="C6" s="13" t="s">
        <v>3</v>
      </c>
    </row>
    <row r="7" spans="3:7" x14ac:dyDescent="0.25">
      <c r="C7" s="65">
        <v>1017</v>
      </c>
      <c r="D7" s="66"/>
    </row>
    <row r="8" spans="3:7" ht="15.75" thickBot="1" x14ac:dyDescent="0.3">
      <c r="C8" s="67"/>
      <c r="D8" s="68"/>
    </row>
    <row r="9" spans="3:7" ht="15.75" thickBot="1" x14ac:dyDescent="0.3">
      <c r="C9" s="13" t="s">
        <v>4</v>
      </c>
    </row>
    <row r="10" spans="3:7" x14ac:dyDescent="0.25">
      <c r="C10" s="69" t="str">
        <f>IFERROR(VLOOKUP(C7,PRODUTOS_TABELA,2,0),"")</f>
        <v xml:space="preserve">TV LED 32" PHILCO </v>
      </c>
      <c r="D10" s="70"/>
      <c r="E10" s="70"/>
      <c r="F10" s="70"/>
      <c r="G10" s="71"/>
    </row>
    <row r="11" spans="3:7" ht="15.75" thickBot="1" x14ac:dyDescent="0.3">
      <c r="C11" s="72"/>
      <c r="D11" s="73"/>
      <c r="E11" s="73"/>
      <c r="F11" s="73"/>
      <c r="G11" s="74"/>
    </row>
    <row r="12" spans="3:7" ht="15.75" thickBot="1" x14ac:dyDescent="0.3">
      <c r="C12" s="13" t="s">
        <v>5</v>
      </c>
    </row>
    <row r="13" spans="3:7" x14ac:dyDescent="0.25">
      <c r="C13" s="75">
        <f>IFERROR(VLOOKUP(C7,PRODUTOS_TABELA,3,0),"")</f>
        <v>879.99</v>
      </c>
      <c r="D13" s="76"/>
      <c r="E13" s="77"/>
    </row>
    <row r="14" spans="3:7" ht="15.75" thickBot="1" x14ac:dyDescent="0.3">
      <c r="C14" s="78"/>
      <c r="D14" s="79"/>
      <c r="E14" s="80"/>
    </row>
    <row r="16" spans="3:7" x14ac:dyDescent="0.25">
      <c r="C16" s="81"/>
      <c r="D16" s="81"/>
    </row>
    <row r="17" spans="1:8" x14ac:dyDescent="0.25">
      <c r="C17" s="81"/>
      <c r="D17" s="81"/>
    </row>
    <row r="20" spans="1:8" hidden="1" x14ac:dyDescent="0.25">
      <c r="C20" s="30" t="s">
        <v>38</v>
      </c>
      <c r="D20" s="30" t="s">
        <v>39</v>
      </c>
      <c r="E20" s="30" t="s">
        <v>42</v>
      </c>
      <c r="F20" s="30" t="s">
        <v>43</v>
      </c>
      <c r="G20" s="30" t="s">
        <v>45</v>
      </c>
      <c r="H20" s="30" t="s">
        <v>46</v>
      </c>
    </row>
    <row r="21" spans="1:8" s="42" customFormat="1" ht="30" hidden="1" customHeight="1" x14ac:dyDescent="0.25">
      <c r="A21" s="41"/>
      <c r="C21" s="43">
        <v>1</v>
      </c>
      <c r="D21" s="43">
        <v>2019</v>
      </c>
      <c r="E21" s="43">
        <f>C7</f>
        <v>1017</v>
      </c>
      <c r="F21" s="43" t="str">
        <f>C10</f>
        <v xml:space="preserve">TV LED 32" PHILCO </v>
      </c>
      <c r="G21" s="44">
        <f>DSUM(VENDAS_LANÇAMENTOS_TABELA,9,C20:F21)</f>
        <v>0</v>
      </c>
      <c r="H21" s="45">
        <f>DSUM(VENDAS_LANÇAMENTOS_TABELA,H20,C20:F21)</f>
        <v>0</v>
      </c>
    </row>
  </sheetData>
  <sheetProtection selectLockedCells="1"/>
  <mergeCells count="4">
    <mergeCell ref="C7:D8"/>
    <mergeCell ref="C10:G11"/>
    <mergeCell ref="C13:E14"/>
    <mergeCell ref="C16:D17"/>
  </mergeCells>
  <dataValidations count="1">
    <dataValidation type="list" allowBlank="1" showInputMessage="1" showErrorMessage="1" sqref="C7:D8" xr:uid="{72B87C9F-F87D-4F6B-975C-F865791B9FAD}">
      <formula1>PRODUTOS_CÓDIGO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B00C2-A7E7-43EB-9B3F-4A28A88BB5DC}">
  <sheetPr codeName="Planilha21"/>
  <dimension ref="A1:H26"/>
  <sheetViews>
    <sheetView showGridLines="0" showRowColHeaders="0" workbookViewId="0">
      <selection activeCell="C6" sqref="C6"/>
    </sheetView>
  </sheetViews>
  <sheetFormatPr defaultRowHeight="15" x14ac:dyDescent="0.25"/>
  <cols>
    <col min="1" max="1" width="40.7109375" style="1" customWidth="1"/>
    <col min="2" max="4" width="9.140625" style="12"/>
    <col min="5" max="5" width="16.28515625" style="12" customWidth="1"/>
    <col min="6" max="6" width="29.42578125" style="12" customWidth="1"/>
    <col min="7" max="7" width="13.140625" style="12" customWidth="1"/>
    <col min="8" max="8" width="22.42578125" style="12" customWidth="1"/>
    <col min="9" max="16384" width="9.140625" style="12"/>
  </cols>
  <sheetData>
    <row r="1" spans="3:7" s="1" customFormat="1" ht="39.950000000000003" customHeight="1" x14ac:dyDescent="0.25"/>
    <row r="6" spans="3:7" ht="15.75" thickBot="1" x14ac:dyDescent="0.3">
      <c r="C6" s="13" t="s">
        <v>3</v>
      </c>
    </row>
    <row r="7" spans="3:7" x14ac:dyDescent="0.25">
      <c r="C7" s="65">
        <v>1015</v>
      </c>
      <c r="D7" s="66"/>
    </row>
    <row r="8" spans="3:7" ht="15.75" thickBot="1" x14ac:dyDescent="0.3">
      <c r="C8" s="67"/>
      <c r="D8" s="68"/>
    </row>
    <row r="9" spans="3:7" ht="15.75" thickBot="1" x14ac:dyDescent="0.3">
      <c r="C9" s="13" t="s">
        <v>4</v>
      </c>
    </row>
    <row r="10" spans="3:7" x14ac:dyDescent="0.25">
      <c r="C10" s="69" t="str">
        <f>IFERROR(VLOOKUP(C7,PRODUTOS_TABELA,2,0),"")</f>
        <v>MOUSE GOLDENTEC</v>
      </c>
      <c r="D10" s="70"/>
      <c r="E10" s="70"/>
      <c r="F10" s="70"/>
      <c r="G10" s="71"/>
    </row>
    <row r="11" spans="3:7" ht="15.75" thickBot="1" x14ac:dyDescent="0.3">
      <c r="C11" s="72"/>
      <c r="D11" s="73"/>
      <c r="E11" s="73"/>
      <c r="F11" s="73"/>
      <c r="G11" s="74"/>
    </row>
    <row r="12" spans="3:7" ht="15.75" thickBot="1" x14ac:dyDescent="0.3">
      <c r="C12" s="13" t="s">
        <v>5</v>
      </c>
    </row>
    <row r="13" spans="3:7" x14ac:dyDescent="0.25">
      <c r="C13" s="75">
        <f>IFERROR(VLOOKUP(C7,PRODUTOS_TABELA,3,0),"")</f>
        <v>20</v>
      </c>
      <c r="D13" s="76"/>
      <c r="E13" s="77"/>
    </row>
    <row r="14" spans="3:7" ht="15.75" thickBot="1" x14ac:dyDescent="0.3">
      <c r="C14" s="78"/>
      <c r="D14" s="79"/>
      <c r="E14" s="80"/>
    </row>
    <row r="16" spans="3:7" x14ac:dyDescent="0.25">
      <c r="C16" s="81"/>
      <c r="D16" s="81"/>
    </row>
    <row r="17" spans="1:8" x14ac:dyDescent="0.25">
      <c r="C17" s="81"/>
      <c r="D17" s="81"/>
    </row>
    <row r="25" spans="1:8" x14ac:dyDescent="0.25">
      <c r="C25" s="30" t="s">
        <v>38</v>
      </c>
      <c r="D25" s="30" t="s">
        <v>39</v>
      </c>
      <c r="E25" s="30" t="s">
        <v>42</v>
      </c>
      <c r="F25" s="30" t="s">
        <v>43</v>
      </c>
      <c r="G25" s="30" t="s">
        <v>45</v>
      </c>
      <c r="H25" s="30" t="s">
        <v>46</v>
      </c>
    </row>
    <row r="26" spans="1:8" s="42" customFormat="1" ht="30" customHeight="1" x14ac:dyDescent="0.25">
      <c r="A26" s="41"/>
      <c r="C26" s="43">
        <v>1</v>
      </c>
      <c r="D26" s="43">
        <v>2019</v>
      </c>
      <c r="E26" s="43">
        <f>C7</f>
        <v>1015</v>
      </c>
      <c r="F26" s="43" t="str">
        <f>C10</f>
        <v>MOUSE GOLDENTEC</v>
      </c>
      <c r="G26" s="44">
        <f>DSUM(VENDAS_LANÇAMENTOS_TABELA,9,C25:F26)</f>
        <v>8</v>
      </c>
      <c r="H26" s="45">
        <f>DSUM(VENDAS_LANÇAMENTOS_TABELA,H25,C25:F26)</f>
        <v>160</v>
      </c>
    </row>
  </sheetData>
  <sheetProtection selectLockedCells="1"/>
  <mergeCells count="4">
    <mergeCell ref="C7:D8"/>
    <mergeCell ref="C10:G11"/>
    <mergeCell ref="C13:E14"/>
    <mergeCell ref="C16:D17"/>
  </mergeCells>
  <dataValidations count="1">
    <dataValidation type="list" allowBlank="1" showInputMessage="1" showErrorMessage="1" sqref="C7:D8" xr:uid="{C851D847-19D2-4C7F-95E8-8E9718CC8EC9}">
      <formula1>PRODUTOS_CÓDIGO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692BA-09C3-41D0-8D9A-75DE5012F7CC}">
  <sheetPr codeName="Planilha19"/>
  <dimension ref="A1:C23"/>
  <sheetViews>
    <sheetView topLeftCell="A7" workbookViewId="0">
      <selection activeCell="A10" sqref="A10"/>
    </sheetView>
  </sheetViews>
  <sheetFormatPr defaultRowHeight="15" x14ac:dyDescent="0.25"/>
  <cols>
    <col min="1" max="1" width="38.5703125" bestFit="1" customWidth="1"/>
    <col min="2" max="2" width="19.42578125" bestFit="1" customWidth="1"/>
    <col min="3" max="3" width="13.5703125" bestFit="1" customWidth="1"/>
  </cols>
  <sheetData>
    <row r="1" spans="1:3" x14ac:dyDescent="0.25">
      <c r="A1" s="61" t="s">
        <v>39</v>
      </c>
      <c r="B1" t="s">
        <v>82</v>
      </c>
    </row>
    <row r="2" spans="1:3" x14ac:dyDescent="0.25">
      <c r="A2" s="61" t="s">
        <v>38</v>
      </c>
      <c r="B2" t="s">
        <v>82</v>
      </c>
    </row>
    <row r="4" spans="1:3" x14ac:dyDescent="0.25">
      <c r="A4" s="61" t="s">
        <v>83</v>
      </c>
      <c r="B4" t="s">
        <v>84</v>
      </c>
      <c r="C4" t="s">
        <v>85</v>
      </c>
    </row>
    <row r="5" spans="1:3" x14ac:dyDescent="0.25">
      <c r="A5" s="62" t="s">
        <v>16</v>
      </c>
      <c r="B5">
        <v>54</v>
      </c>
      <c r="C5">
        <v>77670</v>
      </c>
    </row>
    <row r="6" spans="1:3" x14ac:dyDescent="0.25">
      <c r="A6" s="63" t="s">
        <v>7</v>
      </c>
      <c r="B6">
        <v>16</v>
      </c>
      <c r="C6">
        <v>21600</v>
      </c>
    </row>
    <row r="7" spans="1:3" x14ac:dyDescent="0.25">
      <c r="A7" s="63" t="s">
        <v>6</v>
      </c>
      <c r="B7">
        <v>30</v>
      </c>
      <c r="C7">
        <v>50070</v>
      </c>
    </row>
    <row r="8" spans="1:3" x14ac:dyDescent="0.25">
      <c r="A8" s="63" t="s">
        <v>8</v>
      </c>
      <c r="B8">
        <v>8</v>
      </c>
      <c r="C8">
        <v>6000</v>
      </c>
    </row>
    <row r="9" spans="1:3" x14ac:dyDescent="0.25">
      <c r="A9" s="62" t="s">
        <v>18</v>
      </c>
      <c r="B9">
        <v>338</v>
      </c>
      <c r="C9">
        <v>327127.93</v>
      </c>
    </row>
    <row r="10" spans="1:3" x14ac:dyDescent="0.25">
      <c r="A10" s="63" t="s">
        <v>7</v>
      </c>
      <c r="B10">
        <v>25</v>
      </c>
      <c r="C10">
        <v>33750</v>
      </c>
    </row>
    <row r="11" spans="1:3" x14ac:dyDescent="0.25">
      <c r="A11" s="63" t="s">
        <v>6</v>
      </c>
      <c r="B11">
        <v>6</v>
      </c>
      <c r="C11">
        <v>10014</v>
      </c>
    </row>
    <row r="12" spans="1:3" x14ac:dyDescent="0.25">
      <c r="A12" s="63" t="s">
        <v>13</v>
      </c>
      <c r="B12">
        <v>56</v>
      </c>
      <c r="C12">
        <v>123255.44</v>
      </c>
    </row>
    <row r="13" spans="1:3" x14ac:dyDescent="0.25">
      <c r="A13" s="63" t="s">
        <v>10</v>
      </c>
      <c r="B13">
        <v>46</v>
      </c>
      <c r="C13">
        <v>920</v>
      </c>
    </row>
    <row r="14" spans="1:3" x14ac:dyDescent="0.25">
      <c r="A14" s="63" t="s">
        <v>11</v>
      </c>
      <c r="B14">
        <v>66</v>
      </c>
      <c r="C14">
        <v>82499.34</v>
      </c>
    </row>
    <row r="15" spans="1:3" x14ac:dyDescent="0.25">
      <c r="A15" s="63" t="s">
        <v>9</v>
      </c>
      <c r="B15">
        <v>54</v>
      </c>
      <c r="C15">
        <v>1890</v>
      </c>
    </row>
    <row r="16" spans="1:3" x14ac:dyDescent="0.25">
      <c r="A16" s="63" t="s">
        <v>12</v>
      </c>
      <c r="B16">
        <v>85</v>
      </c>
      <c r="C16">
        <v>74799.149999999994</v>
      </c>
    </row>
    <row r="17" spans="1:3" x14ac:dyDescent="0.25">
      <c r="A17" s="62" t="s">
        <v>17</v>
      </c>
      <c r="B17">
        <v>119</v>
      </c>
      <c r="C17">
        <v>135545.71</v>
      </c>
    </row>
    <row r="18" spans="1:3" x14ac:dyDescent="0.25">
      <c r="A18" s="63" t="s">
        <v>6</v>
      </c>
      <c r="B18">
        <v>45</v>
      </c>
      <c r="C18">
        <v>75105</v>
      </c>
    </row>
    <row r="19" spans="1:3" x14ac:dyDescent="0.25">
      <c r="A19" s="63" t="s">
        <v>13</v>
      </c>
      <c r="B19">
        <v>11</v>
      </c>
      <c r="C19">
        <v>24210.89</v>
      </c>
    </row>
    <row r="20" spans="1:3" x14ac:dyDescent="0.25">
      <c r="A20" s="63" t="s">
        <v>8</v>
      </c>
      <c r="B20">
        <v>17</v>
      </c>
      <c r="C20">
        <v>12750</v>
      </c>
    </row>
    <row r="21" spans="1:3" x14ac:dyDescent="0.25">
      <c r="A21" s="63" t="s">
        <v>11</v>
      </c>
      <c r="B21">
        <v>18</v>
      </c>
      <c r="C21">
        <v>22499.82</v>
      </c>
    </row>
    <row r="22" spans="1:3" x14ac:dyDescent="0.25">
      <c r="A22" s="63" t="s">
        <v>9</v>
      </c>
      <c r="B22">
        <v>28</v>
      </c>
      <c r="C22">
        <v>980</v>
      </c>
    </row>
    <row r="23" spans="1:3" x14ac:dyDescent="0.25">
      <c r="A23" s="62" t="s">
        <v>62</v>
      </c>
      <c r="B23">
        <v>511</v>
      </c>
      <c r="C23">
        <v>540343.64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49E63-2249-4707-9014-6EE63307833E}">
  <sheetPr codeName="Planilha20"/>
  <dimension ref="A1:C10"/>
  <sheetViews>
    <sheetView workbookViewId="0">
      <selection activeCell="B7" sqref="B7"/>
    </sheetView>
  </sheetViews>
  <sheetFormatPr defaultRowHeight="15" x14ac:dyDescent="0.25"/>
  <cols>
    <col min="1" max="1" width="38.5703125" bestFit="1" customWidth="1"/>
    <col min="2" max="2" width="19.42578125" bestFit="1" customWidth="1"/>
    <col min="3" max="3" width="13.5703125" bestFit="1" customWidth="1"/>
  </cols>
  <sheetData>
    <row r="1" spans="1:3" x14ac:dyDescent="0.25">
      <c r="A1" s="61" t="s">
        <v>41</v>
      </c>
      <c r="B1" t="s">
        <v>17</v>
      </c>
    </row>
    <row r="3" spans="1:3" x14ac:dyDescent="0.25">
      <c r="A3" s="61" t="s">
        <v>83</v>
      </c>
      <c r="B3" t="s">
        <v>84</v>
      </c>
      <c r="C3" t="s">
        <v>85</v>
      </c>
    </row>
    <row r="4" spans="1:3" x14ac:dyDescent="0.25">
      <c r="A4" s="64" t="s">
        <v>86</v>
      </c>
      <c r="B4">
        <v>119</v>
      </c>
      <c r="C4">
        <v>135545.71</v>
      </c>
    </row>
    <row r="5" spans="1:3" x14ac:dyDescent="0.25">
      <c r="A5" s="63" t="s">
        <v>6</v>
      </c>
      <c r="B5">
        <v>45</v>
      </c>
      <c r="C5">
        <v>75105</v>
      </c>
    </row>
    <row r="6" spans="1:3" x14ac:dyDescent="0.25">
      <c r="A6" s="63" t="s">
        <v>13</v>
      </c>
      <c r="B6">
        <v>11</v>
      </c>
      <c r="C6">
        <v>24210.89</v>
      </c>
    </row>
    <row r="7" spans="1:3" x14ac:dyDescent="0.25">
      <c r="A7" s="63" t="s">
        <v>8</v>
      </c>
      <c r="B7">
        <v>17</v>
      </c>
      <c r="C7">
        <v>12750</v>
      </c>
    </row>
    <row r="8" spans="1:3" x14ac:dyDescent="0.25">
      <c r="A8" s="63" t="s">
        <v>11</v>
      </c>
      <c r="B8">
        <v>18</v>
      </c>
      <c r="C8">
        <v>22499.82</v>
      </c>
    </row>
    <row r="9" spans="1:3" x14ac:dyDescent="0.25">
      <c r="A9" s="63" t="s">
        <v>9</v>
      </c>
      <c r="B9">
        <v>28</v>
      </c>
      <c r="C9">
        <v>980</v>
      </c>
    </row>
    <row r="10" spans="1:3" x14ac:dyDescent="0.25">
      <c r="A10" s="64" t="s">
        <v>62</v>
      </c>
      <c r="B10">
        <v>119</v>
      </c>
      <c r="C10">
        <v>135545.71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9BDBB-117B-4931-A32C-5C1C64F5CD3C}">
  <sheetPr codeName="Planilha10"/>
  <dimension ref="C3:L49"/>
  <sheetViews>
    <sheetView showGridLines="0" topLeftCell="C3" zoomScaleNormal="100" workbookViewId="0">
      <selection activeCell="C5" sqref="C5"/>
    </sheetView>
  </sheetViews>
  <sheetFormatPr defaultRowHeight="15" x14ac:dyDescent="0.25"/>
  <cols>
    <col min="3" max="3" width="15.5703125" customWidth="1"/>
    <col min="4" max="4" width="9.7109375" customWidth="1"/>
    <col min="5" max="5" width="12.5703125" customWidth="1"/>
    <col min="6" max="6" width="18.5703125" customWidth="1"/>
    <col min="7" max="7" width="23.5703125" customWidth="1"/>
    <col min="8" max="8" width="16.28515625" customWidth="1"/>
    <col min="9" max="9" width="37.42578125" bestFit="1" customWidth="1"/>
    <col min="10" max="10" width="14.5703125" customWidth="1"/>
    <col min="11" max="11" width="9.42578125" customWidth="1"/>
    <col min="12" max="12" width="17.5703125" customWidth="1"/>
  </cols>
  <sheetData>
    <row r="3" spans="3:12" x14ac:dyDescent="0.25">
      <c r="C3" s="30" t="s">
        <v>37</v>
      </c>
      <c r="D3" s="30" t="s">
        <v>38</v>
      </c>
      <c r="E3" s="30" t="s">
        <v>39</v>
      </c>
      <c r="F3" s="30" t="s">
        <v>40</v>
      </c>
      <c r="G3" s="30" t="s">
        <v>41</v>
      </c>
      <c r="H3" s="30" t="s">
        <v>42</v>
      </c>
      <c r="I3" s="30" t="s">
        <v>43</v>
      </c>
      <c r="J3" s="30" t="s">
        <v>44</v>
      </c>
      <c r="K3" s="30" t="s">
        <v>45</v>
      </c>
      <c r="L3" s="30" t="s">
        <v>46</v>
      </c>
    </row>
    <row r="4" spans="3:12" x14ac:dyDescent="0.25">
      <c r="C4" s="18">
        <v>43470</v>
      </c>
      <c r="D4" s="14">
        <v>1</v>
      </c>
      <c r="E4" s="14">
        <v>2019</v>
      </c>
      <c r="F4" s="14">
        <v>100101</v>
      </c>
      <c r="G4" s="27" t="s">
        <v>16</v>
      </c>
      <c r="H4" s="14">
        <v>1012</v>
      </c>
      <c r="I4" s="28" t="s">
        <v>7</v>
      </c>
      <c r="J4" s="22">
        <v>1350</v>
      </c>
      <c r="K4" s="14">
        <v>16</v>
      </c>
      <c r="L4" s="22">
        <v>21600</v>
      </c>
    </row>
    <row r="5" spans="3:12" x14ac:dyDescent="0.25">
      <c r="C5" s="18">
        <v>43508</v>
      </c>
      <c r="D5" s="14">
        <v>2</v>
      </c>
      <c r="E5" s="14">
        <v>2019</v>
      </c>
      <c r="F5" s="14">
        <v>100101</v>
      </c>
      <c r="G5" s="27" t="s">
        <v>16</v>
      </c>
      <c r="H5" s="14">
        <v>1015</v>
      </c>
      <c r="I5" s="28" t="s">
        <v>10</v>
      </c>
      <c r="J5" s="22">
        <v>20</v>
      </c>
      <c r="K5" s="14">
        <v>30</v>
      </c>
      <c r="L5" s="22">
        <v>600</v>
      </c>
    </row>
    <row r="6" spans="3:12" x14ac:dyDescent="0.25">
      <c r="C6" s="18">
        <v>43503</v>
      </c>
      <c r="D6" s="14">
        <v>2</v>
      </c>
      <c r="E6" s="14">
        <v>2019</v>
      </c>
      <c r="F6" s="14">
        <v>100101</v>
      </c>
      <c r="G6" s="27" t="s">
        <v>16</v>
      </c>
      <c r="H6" s="14">
        <v>1014</v>
      </c>
      <c r="I6" s="28" t="s">
        <v>9</v>
      </c>
      <c r="J6" s="22">
        <v>35</v>
      </c>
      <c r="K6" s="14">
        <v>3</v>
      </c>
      <c r="L6" s="22">
        <v>105</v>
      </c>
    </row>
    <row r="7" spans="3:12" x14ac:dyDescent="0.25">
      <c r="C7" s="18">
        <v>43507</v>
      </c>
      <c r="D7" s="14">
        <v>2</v>
      </c>
      <c r="E7" s="14">
        <v>2019</v>
      </c>
      <c r="F7" s="14">
        <v>100101</v>
      </c>
      <c r="G7" s="27" t="s">
        <v>16</v>
      </c>
      <c r="H7" s="14">
        <v>1013</v>
      </c>
      <c r="I7" s="28" t="s">
        <v>8</v>
      </c>
      <c r="J7" s="22">
        <v>750</v>
      </c>
      <c r="K7" s="14">
        <v>50</v>
      </c>
      <c r="L7" s="22">
        <v>37500</v>
      </c>
    </row>
    <row r="8" spans="3:12" x14ac:dyDescent="0.25">
      <c r="C8" s="18">
        <v>43571</v>
      </c>
      <c r="D8" s="14">
        <v>4</v>
      </c>
      <c r="E8" s="14">
        <v>2019</v>
      </c>
      <c r="F8" s="14">
        <v>100101</v>
      </c>
      <c r="G8" s="27" t="s">
        <v>16</v>
      </c>
      <c r="H8" s="14">
        <v>1012</v>
      </c>
      <c r="I8" s="28" t="s">
        <v>7</v>
      </c>
      <c r="J8" s="22">
        <v>1350</v>
      </c>
      <c r="K8" s="14">
        <v>15</v>
      </c>
      <c r="L8" s="22">
        <v>20250</v>
      </c>
    </row>
    <row r="9" spans="3:12" x14ac:dyDescent="0.25">
      <c r="C9" s="18">
        <v>43506</v>
      </c>
      <c r="D9" s="14">
        <v>2</v>
      </c>
      <c r="E9" s="14">
        <v>2019</v>
      </c>
      <c r="F9" s="14">
        <v>100101</v>
      </c>
      <c r="G9" s="27" t="s">
        <v>16</v>
      </c>
      <c r="H9" s="14">
        <v>1011</v>
      </c>
      <c r="I9" s="28" t="s">
        <v>6</v>
      </c>
      <c r="J9" s="22">
        <v>1669</v>
      </c>
      <c r="K9" s="14">
        <v>5</v>
      </c>
      <c r="L9" s="22">
        <v>8345</v>
      </c>
    </row>
    <row r="10" spans="3:12" x14ac:dyDescent="0.25">
      <c r="C10" s="18">
        <v>43565</v>
      </c>
      <c r="D10" s="14">
        <v>4</v>
      </c>
      <c r="E10" s="14">
        <v>2019</v>
      </c>
      <c r="F10" s="14">
        <v>100102</v>
      </c>
      <c r="G10" s="27" t="s">
        <v>17</v>
      </c>
      <c r="H10" s="14">
        <v>0</v>
      </c>
      <c r="I10" s="28" t="s">
        <v>88</v>
      </c>
      <c r="J10" s="22" t="s">
        <v>88</v>
      </c>
      <c r="K10" s="14">
        <v>0</v>
      </c>
      <c r="L10" s="22" t="e">
        <v>#VALUE!</v>
      </c>
    </row>
    <row r="11" spans="3:12" x14ac:dyDescent="0.25">
      <c r="C11" s="18">
        <v>43565</v>
      </c>
      <c r="D11" s="14">
        <v>4</v>
      </c>
      <c r="E11" s="14">
        <v>2019</v>
      </c>
      <c r="F11" s="14">
        <v>100102</v>
      </c>
      <c r="G11" s="27" t="s">
        <v>17</v>
      </c>
      <c r="H11" s="14">
        <v>1012</v>
      </c>
      <c r="I11" s="28" t="s">
        <v>7</v>
      </c>
      <c r="J11" s="22">
        <v>1350</v>
      </c>
      <c r="K11" s="14">
        <v>0</v>
      </c>
      <c r="L11" s="22">
        <v>0</v>
      </c>
    </row>
    <row r="12" spans="3:12" x14ac:dyDescent="0.25">
      <c r="C12" s="18">
        <v>43565</v>
      </c>
      <c r="D12" s="14">
        <v>4</v>
      </c>
      <c r="E12" s="14">
        <v>2019</v>
      </c>
      <c r="F12" s="14">
        <v>100102</v>
      </c>
      <c r="G12" s="27" t="s">
        <v>17</v>
      </c>
      <c r="H12" s="14">
        <v>1013</v>
      </c>
      <c r="I12" s="28" t="s">
        <v>8</v>
      </c>
      <c r="J12" s="22">
        <v>750</v>
      </c>
      <c r="K12" s="14">
        <v>100</v>
      </c>
      <c r="L12" s="22">
        <v>75000</v>
      </c>
    </row>
    <row r="13" spans="3:12" x14ac:dyDescent="0.25">
      <c r="C13" s="18">
        <v>43554</v>
      </c>
      <c r="D13" s="14">
        <v>3</v>
      </c>
      <c r="E13" s="14">
        <v>2019</v>
      </c>
      <c r="F13" s="14">
        <v>100102</v>
      </c>
      <c r="G13" s="27" t="s">
        <v>17</v>
      </c>
      <c r="H13" s="14">
        <v>1017</v>
      </c>
      <c r="I13" s="28" t="s">
        <v>12</v>
      </c>
      <c r="J13" s="22">
        <v>879.99</v>
      </c>
      <c r="K13" s="14">
        <v>0</v>
      </c>
      <c r="L13" s="22">
        <v>0</v>
      </c>
    </row>
    <row r="14" spans="3:12" x14ac:dyDescent="0.25">
      <c r="C14" s="18">
        <v>43554</v>
      </c>
      <c r="D14" s="14">
        <v>3</v>
      </c>
      <c r="E14" s="14">
        <v>2019</v>
      </c>
      <c r="F14" s="14">
        <v>100101</v>
      </c>
      <c r="G14" s="27" t="s">
        <v>16</v>
      </c>
      <c r="H14" s="14">
        <v>1017</v>
      </c>
      <c r="I14" s="28" t="s">
        <v>12</v>
      </c>
      <c r="J14" s="22">
        <v>879.99</v>
      </c>
      <c r="K14" s="14">
        <v>185</v>
      </c>
      <c r="L14" s="22">
        <v>162798.15</v>
      </c>
    </row>
    <row r="15" spans="3:12" x14ac:dyDescent="0.25">
      <c r="C15" s="18">
        <v>43320</v>
      </c>
      <c r="D15" s="14">
        <v>8</v>
      </c>
      <c r="E15" s="14">
        <v>2018</v>
      </c>
      <c r="F15" s="14">
        <v>100103</v>
      </c>
      <c r="G15" s="27" t="s">
        <v>18</v>
      </c>
      <c r="H15" s="14">
        <v>1017</v>
      </c>
      <c r="I15" s="28" t="s">
        <v>12</v>
      </c>
      <c r="J15" s="22">
        <v>879.99</v>
      </c>
      <c r="K15" s="14">
        <v>8</v>
      </c>
      <c r="L15" s="22">
        <v>7039.92</v>
      </c>
    </row>
    <row r="16" spans="3:12" x14ac:dyDescent="0.25">
      <c r="C16" s="18">
        <v>43324</v>
      </c>
      <c r="D16" s="14">
        <v>8</v>
      </c>
      <c r="E16" s="14">
        <v>2018</v>
      </c>
      <c r="F16" s="14">
        <v>100103</v>
      </c>
      <c r="G16" s="27" t="s">
        <v>18</v>
      </c>
      <c r="H16" s="14">
        <v>1018</v>
      </c>
      <c r="I16" s="28" t="s">
        <v>13</v>
      </c>
      <c r="J16" s="22">
        <v>2200.9899999999998</v>
      </c>
      <c r="K16" s="14">
        <v>9</v>
      </c>
      <c r="L16" s="22">
        <v>19808.909999999996</v>
      </c>
    </row>
    <row r="17" spans="3:12" x14ac:dyDescent="0.25">
      <c r="C17" s="18">
        <v>43321</v>
      </c>
      <c r="D17" s="14">
        <v>8</v>
      </c>
      <c r="E17" s="14">
        <v>2018</v>
      </c>
      <c r="F17" s="14">
        <v>100103</v>
      </c>
      <c r="G17" s="27" t="s">
        <v>18</v>
      </c>
      <c r="H17" s="14">
        <v>1017</v>
      </c>
      <c r="I17" s="28" t="s">
        <v>12</v>
      </c>
      <c r="J17" s="22">
        <v>879.99</v>
      </c>
      <c r="K17" s="14">
        <v>11</v>
      </c>
      <c r="L17" s="22">
        <v>9679.89</v>
      </c>
    </row>
    <row r="18" spans="3:12" x14ac:dyDescent="0.25">
      <c r="C18" s="18">
        <v>43318</v>
      </c>
      <c r="D18" s="14">
        <v>8</v>
      </c>
      <c r="E18" s="14">
        <v>2018</v>
      </c>
      <c r="F18" s="14">
        <v>100103</v>
      </c>
      <c r="G18" s="27" t="s">
        <v>18</v>
      </c>
      <c r="H18" s="14">
        <v>1017</v>
      </c>
      <c r="I18" s="28" t="s">
        <v>12</v>
      </c>
      <c r="J18" s="22">
        <v>879.99</v>
      </c>
      <c r="K18" s="14">
        <v>13</v>
      </c>
      <c r="L18" s="22">
        <v>11439.87</v>
      </c>
    </row>
    <row r="19" spans="3:12" x14ac:dyDescent="0.25">
      <c r="C19" s="18">
        <v>43337</v>
      </c>
      <c r="D19" s="14">
        <v>8</v>
      </c>
      <c r="E19" s="14">
        <v>2018</v>
      </c>
      <c r="F19" s="14">
        <v>100103</v>
      </c>
      <c r="G19" s="27" t="s">
        <v>18</v>
      </c>
      <c r="H19" s="14">
        <v>1016</v>
      </c>
      <c r="I19" s="28" t="s">
        <v>11</v>
      </c>
      <c r="J19" s="22">
        <v>1249.99</v>
      </c>
      <c r="K19" s="14">
        <v>7</v>
      </c>
      <c r="L19" s="22">
        <v>8749.93</v>
      </c>
    </row>
    <row r="20" spans="3:12" x14ac:dyDescent="0.25">
      <c r="C20" s="18">
        <v>43302</v>
      </c>
      <c r="D20" s="14">
        <v>7</v>
      </c>
      <c r="E20" s="14">
        <v>2018</v>
      </c>
      <c r="F20" s="14">
        <v>100103</v>
      </c>
      <c r="G20" s="27" t="s">
        <v>18</v>
      </c>
      <c r="H20" s="14">
        <v>1015</v>
      </c>
      <c r="I20" s="28" t="s">
        <v>10</v>
      </c>
      <c r="J20" s="22">
        <v>20</v>
      </c>
      <c r="K20" s="14">
        <v>18</v>
      </c>
      <c r="L20" s="22">
        <v>360</v>
      </c>
    </row>
    <row r="21" spans="3:12" x14ac:dyDescent="0.25">
      <c r="C21" s="18">
        <v>43293</v>
      </c>
      <c r="D21" s="14">
        <v>7</v>
      </c>
      <c r="E21" s="14">
        <v>2018</v>
      </c>
      <c r="F21" s="14">
        <v>100103</v>
      </c>
      <c r="G21" s="27" t="s">
        <v>18</v>
      </c>
      <c r="H21" s="14">
        <v>1016</v>
      </c>
      <c r="I21" s="28" t="s">
        <v>11</v>
      </c>
      <c r="J21" s="22">
        <v>1249.99</v>
      </c>
      <c r="K21" s="14">
        <v>7</v>
      </c>
      <c r="L21" s="22">
        <v>8749.93</v>
      </c>
    </row>
    <row r="22" spans="3:12" x14ac:dyDescent="0.25">
      <c r="C22" s="18">
        <v>43286</v>
      </c>
      <c r="D22" s="14">
        <v>7</v>
      </c>
      <c r="E22" s="14">
        <v>2018</v>
      </c>
      <c r="F22" s="14">
        <v>100103</v>
      </c>
      <c r="G22" s="27" t="s">
        <v>18</v>
      </c>
      <c r="H22" s="14">
        <v>1016</v>
      </c>
      <c r="I22" s="28" t="s">
        <v>11</v>
      </c>
      <c r="J22" s="22">
        <v>1249.99</v>
      </c>
      <c r="K22" s="14">
        <v>17</v>
      </c>
      <c r="L22" s="22">
        <v>21249.83</v>
      </c>
    </row>
    <row r="23" spans="3:12" x14ac:dyDescent="0.25">
      <c r="C23" s="18">
        <v>43283</v>
      </c>
      <c r="D23" s="14">
        <v>7</v>
      </c>
      <c r="E23" s="14">
        <v>2018</v>
      </c>
      <c r="F23" s="14">
        <v>100103</v>
      </c>
      <c r="G23" s="27" t="s">
        <v>18</v>
      </c>
      <c r="H23" s="14">
        <v>1018</v>
      </c>
      <c r="I23" s="28" t="s">
        <v>13</v>
      </c>
      <c r="J23" s="22">
        <v>2200.9899999999998</v>
      </c>
      <c r="K23" s="14">
        <v>15</v>
      </c>
      <c r="L23" s="22">
        <v>33014.85</v>
      </c>
    </row>
    <row r="24" spans="3:12" x14ac:dyDescent="0.25">
      <c r="C24" s="18">
        <v>43266</v>
      </c>
      <c r="D24" s="14">
        <v>6</v>
      </c>
      <c r="E24" s="14">
        <v>2018</v>
      </c>
      <c r="F24" s="14">
        <v>100103</v>
      </c>
      <c r="G24" s="27" t="s">
        <v>18</v>
      </c>
      <c r="H24" s="14">
        <v>1017</v>
      </c>
      <c r="I24" s="28" t="s">
        <v>12</v>
      </c>
      <c r="J24" s="22">
        <v>879.99</v>
      </c>
      <c r="K24" s="14">
        <v>25</v>
      </c>
      <c r="L24" s="22">
        <v>21999.75</v>
      </c>
    </row>
    <row r="25" spans="3:12" x14ac:dyDescent="0.25">
      <c r="C25" s="18">
        <v>43263</v>
      </c>
      <c r="D25" s="14">
        <v>6</v>
      </c>
      <c r="E25" s="14">
        <v>2018</v>
      </c>
      <c r="F25" s="14">
        <v>100103</v>
      </c>
      <c r="G25" s="27" t="s">
        <v>18</v>
      </c>
      <c r="H25" s="14">
        <v>1012</v>
      </c>
      <c r="I25" s="28" t="s">
        <v>7</v>
      </c>
      <c r="J25" s="22">
        <v>1350</v>
      </c>
      <c r="K25" s="14">
        <v>25</v>
      </c>
      <c r="L25" s="22">
        <v>33750</v>
      </c>
    </row>
    <row r="26" spans="3:12" x14ac:dyDescent="0.25">
      <c r="C26" s="18">
        <v>43257</v>
      </c>
      <c r="D26" s="14">
        <v>6</v>
      </c>
      <c r="E26" s="14">
        <v>2018</v>
      </c>
      <c r="F26" s="14">
        <v>100103</v>
      </c>
      <c r="G26" s="27" t="s">
        <v>18</v>
      </c>
      <c r="H26" s="14">
        <v>1015</v>
      </c>
      <c r="I26" s="28" t="s">
        <v>10</v>
      </c>
      <c r="J26" s="22">
        <v>20</v>
      </c>
      <c r="K26" s="14">
        <v>20</v>
      </c>
      <c r="L26" s="22">
        <v>400</v>
      </c>
    </row>
    <row r="27" spans="3:12" x14ac:dyDescent="0.25">
      <c r="C27" s="18">
        <v>43132</v>
      </c>
      <c r="D27" s="14">
        <v>2</v>
      </c>
      <c r="E27" s="14">
        <v>2018</v>
      </c>
      <c r="F27" s="14">
        <v>100103</v>
      </c>
      <c r="G27" s="27" t="s">
        <v>18</v>
      </c>
      <c r="H27" s="14">
        <v>1011</v>
      </c>
      <c r="I27" s="28" t="s">
        <v>6</v>
      </c>
      <c r="J27" s="22">
        <v>1669</v>
      </c>
      <c r="K27" s="14">
        <v>6</v>
      </c>
      <c r="L27" s="22">
        <v>10014</v>
      </c>
    </row>
    <row r="28" spans="3:12" x14ac:dyDescent="0.25">
      <c r="C28" s="18">
        <v>43471</v>
      </c>
      <c r="D28" s="14">
        <v>1</v>
      </c>
      <c r="E28" s="14">
        <v>2019</v>
      </c>
      <c r="F28" s="14">
        <v>100102</v>
      </c>
      <c r="G28" s="27" t="s">
        <v>17</v>
      </c>
      <c r="H28" s="14">
        <v>1011</v>
      </c>
      <c r="I28" s="28" t="s">
        <v>6</v>
      </c>
      <c r="J28" s="22">
        <v>1669</v>
      </c>
      <c r="K28" s="14">
        <v>30</v>
      </c>
      <c r="L28" s="22">
        <v>50070</v>
      </c>
    </row>
    <row r="29" spans="3:12" x14ac:dyDescent="0.25">
      <c r="C29" s="18">
        <v>43475</v>
      </c>
      <c r="D29" s="14">
        <v>1</v>
      </c>
      <c r="E29" s="14">
        <v>2019</v>
      </c>
      <c r="F29" s="14">
        <v>100102</v>
      </c>
      <c r="G29" s="27" t="s">
        <v>17</v>
      </c>
      <c r="H29" s="14">
        <v>1011</v>
      </c>
      <c r="I29" s="28" t="s">
        <v>6</v>
      </c>
      <c r="J29" s="22">
        <v>1669</v>
      </c>
      <c r="K29" s="14">
        <v>15</v>
      </c>
      <c r="L29" s="22">
        <v>25035</v>
      </c>
    </row>
    <row r="30" spans="3:12" x14ac:dyDescent="0.25">
      <c r="C30" s="18">
        <v>43101</v>
      </c>
      <c r="D30" s="14">
        <v>1</v>
      </c>
      <c r="E30" s="14">
        <v>2018</v>
      </c>
      <c r="F30" s="14">
        <v>100101</v>
      </c>
      <c r="G30" s="27" t="s">
        <v>16</v>
      </c>
      <c r="H30" s="14">
        <v>1011</v>
      </c>
      <c r="I30" s="28" t="s">
        <v>6</v>
      </c>
      <c r="J30" s="22">
        <v>1669</v>
      </c>
      <c r="K30" s="14">
        <v>20</v>
      </c>
      <c r="L30" s="22">
        <v>33380</v>
      </c>
    </row>
    <row r="31" spans="3:12" x14ac:dyDescent="0.25">
      <c r="C31" s="18">
        <v>43115</v>
      </c>
      <c r="D31" s="14">
        <v>1</v>
      </c>
      <c r="E31" s="14">
        <v>2018</v>
      </c>
      <c r="F31" s="14">
        <v>100101</v>
      </c>
      <c r="G31" s="27" t="s">
        <v>16</v>
      </c>
      <c r="H31" s="14">
        <v>1011</v>
      </c>
      <c r="I31" s="28" t="s">
        <v>6</v>
      </c>
      <c r="J31" s="22">
        <v>1669</v>
      </c>
      <c r="K31" s="14">
        <v>10</v>
      </c>
      <c r="L31" s="22">
        <v>16690</v>
      </c>
    </row>
    <row r="32" spans="3:12" x14ac:dyDescent="0.25">
      <c r="C32" s="18">
        <v>43296</v>
      </c>
      <c r="D32" s="14">
        <v>7</v>
      </c>
      <c r="E32" s="14">
        <v>2018</v>
      </c>
      <c r="F32" s="14">
        <v>100103</v>
      </c>
      <c r="G32" s="27" t="s">
        <v>18</v>
      </c>
      <c r="H32" s="14">
        <v>1018</v>
      </c>
      <c r="I32" s="28" t="s">
        <v>13</v>
      </c>
      <c r="J32" s="22">
        <v>2200.9899999999998</v>
      </c>
      <c r="K32" s="14">
        <v>20</v>
      </c>
      <c r="L32" s="22">
        <v>44019.799999999996</v>
      </c>
    </row>
    <row r="33" spans="3:12" x14ac:dyDescent="0.25">
      <c r="C33" s="18">
        <v>43195</v>
      </c>
      <c r="D33" s="14">
        <v>4</v>
      </c>
      <c r="E33" s="14">
        <v>2018</v>
      </c>
      <c r="F33" s="14">
        <v>100103</v>
      </c>
      <c r="G33" s="27" t="s">
        <v>18</v>
      </c>
      <c r="H33" s="14">
        <v>1018</v>
      </c>
      <c r="I33" s="28" t="s">
        <v>13</v>
      </c>
      <c r="J33" s="22">
        <v>2200.9899999999998</v>
      </c>
      <c r="K33" s="14">
        <v>12</v>
      </c>
      <c r="L33" s="22">
        <v>26411.879999999997</v>
      </c>
    </row>
    <row r="34" spans="3:12" x14ac:dyDescent="0.25">
      <c r="C34" s="18">
        <v>43474</v>
      </c>
      <c r="D34" s="14">
        <v>1</v>
      </c>
      <c r="E34" s="14">
        <v>2019</v>
      </c>
      <c r="F34" s="14">
        <v>100102</v>
      </c>
      <c r="G34" s="27" t="s">
        <v>17</v>
      </c>
      <c r="H34" s="14">
        <v>1018</v>
      </c>
      <c r="I34" s="28" t="s">
        <v>13</v>
      </c>
      <c r="J34" s="22">
        <v>2200.9899999999998</v>
      </c>
      <c r="K34" s="14">
        <v>11</v>
      </c>
      <c r="L34" s="22">
        <v>24210.89</v>
      </c>
    </row>
    <row r="35" spans="3:12" x14ac:dyDescent="0.25">
      <c r="C35" s="18">
        <v>43473</v>
      </c>
      <c r="D35" s="14">
        <v>1</v>
      </c>
      <c r="E35" s="14">
        <v>2019</v>
      </c>
      <c r="F35" s="14">
        <v>100102</v>
      </c>
      <c r="G35" s="27" t="s">
        <v>17</v>
      </c>
      <c r="H35" s="14">
        <v>1013</v>
      </c>
      <c r="I35" s="28" t="s">
        <v>8</v>
      </c>
      <c r="J35" s="22">
        <v>750</v>
      </c>
      <c r="K35" s="14">
        <v>17</v>
      </c>
      <c r="L35" s="22">
        <v>12750</v>
      </c>
    </row>
    <row r="36" spans="3:12" x14ac:dyDescent="0.25">
      <c r="C36" s="18">
        <v>43473</v>
      </c>
      <c r="D36" s="14">
        <v>1</v>
      </c>
      <c r="E36" s="14">
        <v>2019</v>
      </c>
      <c r="F36" s="14">
        <v>100101</v>
      </c>
      <c r="G36" s="27" t="s">
        <v>16</v>
      </c>
      <c r="H36" s="14">
        <v>1013</v>
      </c>
      <c r="I36" s="28" t="s">
        <v>8</v>
      </c>
      <c r="J36" s="22">
        <v>750</v>
      </c>
      <c r="K36" s="14">
        <v>8</v>
      </c>
      <c r="L36" s="22">
        <v>6000</v>
      </c>
    </row>
    <row r="37" spans="3:12" x14ac:dyDescent="0.25">
      <c r="C37" s="18">
        <v>43483</v>
      </c>
      <c r="D37" s="14">
        <v>1</v>
      </c>
      <c r="E37" s="14">
        <v>2019</v>
      </c>
      <c r="F37" s="14">
        <v>100103</v>
      </c>
      <c r="G37" s="27" t="s">
        <v>18</v>
      </c>
      <c r="H37" s="14">
        <v>1015</v>
      </c>
      <c r="I37" s="28" t="s">
        <v>10</v>
      </c>
      <c r="J37" s="22">
        <v>20</v>
      </c>
      <c r="K37" s="14">
        <v>8</v>
      </c>
      <c r="L37" s="22">
        <v>160</v>
      </c>
    </row>
    <row r="38" spans="3:12" x14ac:dyDescent="0.25">
      <c r="C38" s="18">
        <v>43263</v>
      </c>
      <c r="D38" s="14">
        <v>6</v>
      </c>
      <c r="E38" s="14">
        <v>2018</v>
      </c>
      <c r="F38" s="14">
        <v>100103</v>
      </c>
      <c r="G38" s="27" t="s">
        <v>18</v>
      </c>
      <c r="H38" s="14">
        <v>1016</v>
      </c>
      <c r="I38" s="28" t="s">
        <v>11</v>
      </c>
      <c r="J38" s="22">
        <v>1249.99</v>
      </c>
      <c r="K38" s="14">
        <v>15</v>
      </c>
      <c r="L38" s="22">
        <v>18749.849999999999</v>
      </c>
    </row>
    <row r="39" spans="3:12" x14ac:dyDescent="0.25">
      <c r="C39" s="18">
        <v>43257</v>
      </c>
      <c r="D39" s="14">
        <v>6</v>
      </c>
      <c r="E39" s="14">
        <v>2018</v>
      </c>
      <c r="F39" s="14">
        <v>100103</v>
      </c>
      <c r="G39" s="27" t="s">
        <v>18</v>
      </c>
      <c r="H39" s="14">
        <v>1016</v>
      </c>
      <c r="I39" s="28" t="s">
        <v>11</v>
      </c>
      <c r="J39" s="22">
        <v>1249.99</v>
      </c>
      <c r="K39" s="14">
        <v>20</v>
      </c>
      <c r="L39" s="22">
        <v>24999.8</v>
      </c>
    </row>
    <row r="40" spans="3:12" x14ac:dyDescent="0.25">
      <c r="C40" s="18">
        <v>43477</v>
      </c>
      <c r="D40" s="14">
        <v>1</v>
      </c>
      <c r="E40" s="14">
        <v>2019</v>
      </c>
      <c r="F40" s="14">
        <v>100102</v>
      </c>
      <c r="G40" s="27" t="s">
        <v>17</v>
      </c>
      <c r="H40" s="14">
        <v>1016</v>
      </c>
      <c r="I40" s="28" t="s">
        <v>11</v>
      </c>
      <c r="J40" s="22">
        <v>1249.99</v>
      </c>
      <c r="K40" s="14">
        <v>18</v>
      </c>
      <c r="L40" s="22">
        <v>22499.82</v>
      </c>
    </row>
    <row r="41" spans="3:12" x14ac:dyDescent="0.25">
      <c r="C41" s="18">
        <v>43226</v>
      </c>
      <c r="D41" s="14">
        <v>5</v>
      </c>
      <c r="E41" s="14">
        <v>2018</v>
      </c>
      <c r="F41" s="14">
        <v>100103</v>
      </c>
      <c r="G41" s="27" t="s">
        <v>18</v>
      </c>
      <c r="H41" s="14">
        <v>1014</v>
      </c>
      <c r="I41" s="28" t="s">
        <v>9</v>
      </c>
      <c r="J41" s="22">
        <v>35</v>
      </c>
      <c r="K41" s="14">
        <v>8</v>
      </c>
      <c r="L41" s="22">
        <v>280</v>
      </c>
    </row>
    <row r="42" spans="3:12" x14ac:dyDescent="0.25">
      <c r="C42" s="18">
        <v>43136</v>
      </c>
      <c r="D42" s="14">
        <v>2</v>
      </c>
      <c r="E42" s="14">
        <v>2018</v>
      </c>
      <c r="F42" s="14">
        <v>100103</v>
      </c>
      <c r="G42" s="27" t="s">
        <v>18</v>
      </c>
      <c r="H42" s="14">
        <v>1014</v>
      </c>
      <c r="I42" s="28" t="s">
        <v>9</v>
      </c>
      <c r="J42" s="22">
        <v>35</v>
      </c>
      <c r="K42" s="14">
        <v>12</v>
      </c>
      <c r="L42" s="22">
        <v>420</v>
      </c>
    </row>
    <row r="43" spans="3:12" x14ac:dyDescent="0.25">
      <c r="C43" s="18">
        <v>43108</v>
      </c>
      <c r="D43" s="14">
        <v>1</v>
      </c>
      <c r="E43" s="14">
        <v>2018</v>
      </c>
      <c r="F43" s="14">
        <v>100103</v>
      </c>
      <c r="G43" s="27" t="s">
        <v>18</v>
      </c>
      <c r="H43" s="14">
        <v>1014</v>
      </c>
      <c r="I43" s="28" t="s">
        <v>9</v>
      </c>
      <c r="J43" s="22">
        <v>35</v>
      </c>
      <c r="K43" s="14">
        <v>6</v>
      </c>
      <c r="L43" s="22">
        <v>210</v>
      </c>
    </row>
    <row r="44" spans="3:12" x14ac:dyDescent="0.25">
      <c r="C44" s="18">
        <v>43471</v>
      </c>
      <c r="D44" s="14">
        <v>1</v>
      </c>
      <c r="E44" s="14">
        <v>2019</v>
      </c>
      <c r="F44" s="14">
        <v>100103</v>
      </c>
      <c r="G44" s="27" t="s">
        <v>18</v>
      </c>
      <c r="H44" s="14">
        <v>1014</v>
      </c>
      <c r="I44" s="28" t="s">
        <v>9</v>
      </c>
      <c r="J44" s="22">
        <v>35</v>
      </c>
      <c r="K44" s="14">
        <v>28</v>
      </c>
      <c r="L44" s="22">
        <v>980</v>
      </c>
    </row>
    <row r="45" spans="3:12" x14ac:dyDescent="0.25">
      <c r="C45" s="18">
        <v>43487</v>
      </c>
      <c r="D45" s="14">
        <v>1</v>
      </c>
      <c r="E45" s="14">
        <v>2019</v>
      </c>
      <c r="F45" s="14">
        <v>100102</v>
      </c>
      <c r="G45" s="27" t="s">
        <v>17</v>
      </c>
      <c r="H45" s="14">
        <v>1014</v>
      </c>
      <c r="I45" s="28" t="s">
        <v>9</v>
      </c>
      <c r="J45" s="22">
        <v>35</v>
      </c>
      <c r="K45" s="14">
        <v>28</v>
      </c>
      <c r="L45" s="22">
        <v>980</v>
      </c>
    </row>
    <row r="46" spans="3:12" x14ac:dyDescent="0.25">
      <c r="C46" s="18">
        <v>43236</v>
      </c>
      <c r="D46" s="14">
        <v>5</v>
      </c>
      <c r="E46" s="14">
        <v>2018</v>
      </c>
      <c r="F46" s="14">
        <v>100103</v>
      </c>
      <c r="G46" s="27" t="s">
        <v>18</v>
      </c>
      <c r="H46" s="14">
        <v>1017</v>
      </c>
      <c r="I46" s="28" t="s">
        <v>12</v>
      </c>
      <c r="J46" s="22">
        <v>879.99</v>
      </c>
      <c r="K46" s="14">
        <v>20</v>
      </c>
      <c r="L46" s="22">
        <v>17599.8</v>
      </c>
    </row>
    <row r="47" spans="3:12" x14ac:dyDescent="0.25">
      <c r="C47" s="18">
        <v>43165</v>
      </c>
      <c r="D47" s="14">
        <v>3</v>
      </c>
      <c r="E47" s="14">
        <v>2018</v>
      </c>
      <c r="F47" s="14">
        <v>100103</v>
      </c>
      <c r="G47" s="27" t="s">
        <v>18</v>
      </c>
      <c r="H47" s="14">
        <v>1017</v>
      </c>
      <c r="I47" s="28" t="s">
        <v>12</v>
      </c>
      <c r="J47" s="22">
        <v>879.99</v>
      </c>
      <c r="K47" s="14">
        <v>8</v>
      </c>
      <c r="L47" s="22">
        <v>7039.92</v>
      </c>
    </row>
    <row r="48" spans="3:12" x14ac:dyDescent="0.25">
      <c r="D48" s="39"/>
      <c r="E48" s="39"/>
      <c r="F48" s="39"/>
      <c r="G48" s="39"/>
      <c r="H48" s="39"/>
      <c r="I48" s="39"/>
      <c r="J48" s="39"/>
      <c r="K48" s="39"/>
      <c r="L48" s="39"/>
    </row>
    <row r="49" spans="4:12" x14ac:dyDescent="0.25">
      <c r="D49" s="39"/>
      <c r="E49" s="39"/>
      <c r="F49" s="39"/>
      <c r="G49" s="39"/>
      <c r="H49" s="39"/>
      <c r="I49" s="39"/>
      <c r="J49" s="39"/>
      <c r="K49" s="39"/>
      <c r="L49" s="39"/>
    </row>
  </sheetData>
  <autoFilter ref="C3:L47" xr:uid="{FD53D19A-20AA-49E0-AC87-568F91E2094C}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96D3E-4C27-490E-A458-B17ABD4959A3}">
  <sheetPr codeName="Planilha18"/>
  <dimension ref="C4:L42"/>
  <sheetViews>
    <sheetView topLeftCell="C19" workbookViewId="0">
      <selection activeCell="E5" sqref="E5"/>
    </sheetView>
  </sheetViews>
  <sheetFormatPr defaultRowHeight="15" outlineLevelRow="2" x14ac:dyDescent="0.25"/>
  <cols>
    <col min="3" max="3" width="10.7109375" bestFit="1" customWidth="1"/>
    <col min="4" max="4" width="4.7109375" bestFit="1" customWidth="1"/>
    <col min="5" max="5" width="5" bestFit="1" customWidth="1"/>
    <col min="6" max="6" width="9.42578125" bestFit="1" customWidth="1"/>
    <col min="7" max="7" width="19.5703125" bestFit="1" customWidth="1"/>
    <col min="8" max="8" width="14.85546875" bestFit="1" customWidth="1"/>
    <col min="9" max="9" width="37.42578125" bestFit="1" customWidth="1"/>
    <col min="10" max="10" width="10.7109375" bestFit="1" customWidth="1"/>
    <col min="11" max="11" width="11.140625" bestFit="1" customWidth="1"/>
    <col min="12" max="12" width="21" customWidth="1"/>
  </cols>
  <sheetData>
    <row r="4" spans="3:12" x14ac:dyDescent="0.25">
      <c r="C4" s="30" t="s">
        <v>37</v>
      </c>
      <c r="D4" s="30" t="s">
        <v>38</v>
      </c>
      <c r="E4" s="30" t="s">
        <v>39</v>
      </c>
      <c r="F4" s="30" t="s">
        <v>40</v>
      </c>
      <c r="G4" s="30" t="s">
        <v>41</v>
      </c>
      <c r="H4" s="30" t="s">
        <v>42</v>
      </c>
      <c r="I4" s="30" t="s">
        <v>43</v>
      </c>
      <c r="J4" s="30" t="s">
        <v>44</v>
      </c>
      <c r="K4" s="30" t="s">
        <v>45</v>
      </c>
      <c r="L4" s="30" t="s">
        <v>46</v>
      </c>
    </row>
    <row r="5" spans="3:12" outlineLevel="2" x14ac:dyDescent="0.25">
      <c r="C5" s="18">
        <v>43101</v>
      </c>
      <c r="D5" s="14">
        <v>1</v>
      </c>
      <c r="E5" s="14">
        <v>2018</v>
      </c>
      <c r="F5" s="14">
        <v>100101</v>
      </c>
      <c r="G5" s="27" t="s">
        <v>16</v>
      </c>
      <c r="H5" s="14">
        <v>1011</v>
      </c>
      <c r="I5" s="28" t="s">
        <v>6</v>
      </c>
      <c r="J5" s="22">
        <v>1669</v>
      </c>
      <c r="K5" s="14">
        <v>20</v>
      </c>
      <c r="L5" s="22">
        <v>33380</v>
      </c>
    </row>
    <row r="6" spans="3:12" outlineLevel="2" x14ac:dyDescent="0.25">
      <c r="C6" s="18">
        <v>43115</v>
      </c>
      <c r="D6" s="14">
        <v>1</v>
      </c>
      <c r="E6" s="14">
        <v>2018</v>
      </c>
      <c r="F6" s="14">
        <v>100101</v>
      </c>
      <c r="G6" s="27" t="s">
        <v>16</v>
      </c>
      <c r="H6" s="14">
        <v>1011</v>
      </c>
      <c r="I6" s="28" t="s">
        <v>6</v>
      </c>
      <c r="J6" s="22">
        <v>1669</v>
      </c>
      <c r="K6" s="14">
        <v>10</v>
      </c>
      <c r="L6" s="22">
        <v>16690</v>
      </c>
    </row>
    <row r="7" spans="3:12" outlineLevel="2" x14ac:dyDescent="0.25">
      <c r="C7" s="18">
        <v>43470</v>
      </c>
      <c r="D7" s="14">
        <v>1</v>
      </c>
      <c r="E7" s="14">
        <v>2019</v>
      </c>
      <c r="F7" s="14">
        <v>100101</v>
      </c>
      <c r="G7" s="27" t="s">
        <v>16</v>
      </c>
      <c r="H7" s="14">
        <v>1012</v>
      </c>
      <c r="I7" s="28" t="s">
        <v>7</v>
      </c>
      <c r="J7" s="22">
        <v>1350</v>
      </c>
      <c r="K7" s="14">
        <v>16</v>
      </c>
      <c r="L7" s="22">
        <v>21600</v>
      </c>
    </row>
    <row r="8" spans="3:12" outlineLevel="2" x14ac:dyDescent="0.25">
      <c r="C8" s="18">
        <v>43473</v>
      </c>
      <c r="D8" s="14">
        <v>1</v>
      </c>
      <c r="E8" s="14">
        <v>2019</v>
      </c>
      <c r="F8" s="14">
        <v>100101</v>
      </c>
      <c r="G8" s="27" t="s">
        <v>16</v>
      </c>
      <c r="H8" s="14">
        <v>1013</v>
      </c>
      <c r="I8" s="28" t="s">
        <v>8</v>
      </c>
      <c r="J8" s="22">
        <v>750</v>
      </c>
      <c r="K8" s="14">
        <v>8</v>
      </c>
      <c r="L8" s="22">
        <v>6000</v>
      </c>
    </row>
    <row r="9" spans="3:12" outlineLevel="1" x14ac:dyDescent="0.25">
      <c r="C9" s="18"/>
      <c r="D9" s="14"/>
      <c r="E9" s="14"/>
      <c r="F9" s="14"/>
      <c r="G9" s="59" t="s">
        <v>79</v>
      </c>
      <c r="H9" s="14"/>
      <c r="I9" s="28"/>
      <c r="J9" s="22"/>
      <c r="K9" s="14">
        <f>SUBTOTAL(9,K5:K8)</f>
        <v>54</v>
      </c>
      <c r="L9" s="22">
        <f>SUBTOTAL(9,L5:L8)</f>
        <v>77670</v>
      </c>
    </row>
    <row r="10" spans="3:12" outlineLevel="2" x14ac:dyDescent="0.25">
      <c r="C10" s="18">
        <v>43108</v>
      </c>
      <c r="D10" s="14">
        <v>1</v>
      </c>
      <c r="E10" s="14">
        <v>2018</v>
      </c>
      <c r="F10" s="14">
        <v>100103</v>
      </c>
      <c r="G10" s="27" t="s">
        <v>18</v>
      </c>
      <c r="H10" s="14">
        <v>1014</v>
      </c>
      <c r="I10" s="28" t="s">
        <v>9</v>
      </c>
      <c r="J10" s="22">
        <v>35</v>
      </c>
      <c r="K10" s="14">
        <v>6</v>
      </c>
      <c r="L10" s="22">
        <v>210</v>
      </c>
    </row>
    <row r="11" spans="3:12" outlineLevel="2" x14ac:dyDescent="0.25">
      <c r="C11" s="18">
        <v>43132</v>
      </c>
      <c r="D11" s="14">
        <v>2</v>
      </c>
      <c r="E11" s="14">
        <v>2018</v>
      </c>
      <c r="F11" s="14">
        <v>100103</v>
      </c>
      <c r="G11" s="27" t="s">
        <v>18</v>
      </c>
      <c r="H11" s="14">
        <v>1011</v>
      </c>
      <c r="I11" s="28" t="s">
        <v>6</v>
      </c>
      <c r="J11" s="22">
        <v>1669</v>
      </c>
      <c r="K11" s="14">
        <v>6</v>
      </c>
      <c r="L11" s="22">
        <v>10014</v>
      </c>
    </row>
    <row r="12" spans="3:12" outlineLevel="2" x14ac:dyDescent="0.25">
      <c r="C12" s="18">
        <v>43136</v>
      </c>
      <c r="D12" s="14">
        <v>2</v>
      </c>
      <c r="E12" s="14">
        <v>2018</v>
      </c>
      <c r="F12" s="14">
        <v>100103</v>
      </c>
      <c r="G12" s="27" t="s">
        <v>18</v>
      </c>
      <c r="H12" s="14">
        <v>1014</v>
      </c>
      <c r="I12" s="28" t="s">
        <v>9</v>
      </c>
      <c r="J12" s="22">
        <v>35</v>
      </c>
      <c r="K12" s="14">
        <v>12</v>
      </c>
      <c r="L12" s="22">
        <v>420</v>
      </c>
    </row>
    <row r="13" spans="3:12" outlineLevel="2" x14ac:dyDescent="0.25">
      <c r="C13" s="18">
        <v>43165</v>
      </c>
      <c r="D13" s="14">
        <v>3</v>
      </c>
      <c r="E13" s="14">
        <v>2018</v>
      </c>
      <c r="F13" s="14">
        <v>100103</v>
      </c>
      <c r="G13" s="27" t="s">
        <v>18</v>
      </c>
      <c r="H13" s="14">
        <v>1017</v>
      </c>
      <c r="I13" s="28" t="s">
        <v>12</v>
      </c>
      <c r="J13" s="22">
        <v>879.99</v>
      </c>
      <c r="K13" s="14">
        <v>8</v>
      </c>
      <c r="L13" s="22">
        <v>7039.92</v>
      </c>
    </row>
    <row r="14" spans="3:12" outlineLevel="2" x14ac:dyDescent="0.25">
      <c r="C14" s="18">
        <v>43195</v>
      </c>
      <c r="D14" s="14">
        <v>4</v>
      </c>
      <c r="E14" s="14">
        <v>2018</v>
      </c>
      <c r="F14" s="14">
        <v>100103</v>
      </c>
      <c r="G14" s="27" t="s">
        <v>18</v>
      </c>
      <c r="H14" s="14">
        <v>1018</v>
      </c>
      <c r="I14" s="28" t="s">
        <v>13</v>
      </c>
      <c r="J14" s="22">
        <v>2200.9899999999998</v>
      </c>
      <c r="K14" s="14">
        <v>12</v>
      </c>
      <c r="L14" s="22">
        <v>26411.879999999997</v>
      </c>
    </row>
    <row r="15" spans="3:12" outlineLevel="2" x14ac:dyDescent="0.25">
      <c r="C15" s="18">
        <v>43226</v>
      </c>
      <c r="D15" s="14">
        <v>5</v>
      </c>
      <c r="E15" s="14">
        <v>2018</v>
      </c>
      <c r="F15" s="14">
        <v>100103</v>
      </c>
      <c r="G15" s="27" t="s">
        <v>18</v>
      </c>
      <c r="H15" s="14">
        <v>1014</v>
      </c>
      <c r="I15" s="28" t="s">
        <v>9</v>
      </c>
      <c r="J15" s="22">
        <v>35</v>
      </c>
      <c r="K15" s="14">
        <v>8</v>
      </c>
      <c r="L15" s="22">
        <v>280</v>
      </c>
    </row>
    <row r="16" spans="3:12" outlineLevel="2" x14ac:dyDescent="0.25">
      <c r="C16" s="18">
        <v>43236</v>
      </c>
      <c r="D16" s="14">
        <v>5</v>
      </c>
      <c r="E16" s="14">
        <v>2018</v>
      </c>
      <c r="F16" s="14">
        <v>100103</v>
      </c>
      <c r="G16" s="27" t="s">
        <v>18</v>
      </c>
      <c r="H16" s="14">
        <v>1017</v>
      </c>
      <c r="I16" s="28" t="s">
        <v>12</v>
      </c>
      <c r="J16" s="22">
        <v>879.99</v>
      </c>
      <c r="K16" s="14">
        <v>20</v>
      </c>
      <c r="L16" s="22">
        <v>17599.8</v>
      </c>
    </row>
    <row r="17" spans="3:12" outlineLevel="2" x14ac:dyDescent="0.25">
      <c r="C17" s="18">
        <v>43266</v>
      </c>
      <c r="D17" s="14">
        <v>6</v>
      </c>
      <c r="E17" s="14">
        <v>2018</v>
      </c>
      <c r="F17" s="14">
        <v>100103</v>
      </c>
      <c r="G17" s="27" t="s">
        <v>18</v>
      </c>
      <c r="H17" s="14">
        <v>1017</v>
      </c>
      <c r="I17" s="28" t="s">
        <v>12</v>
      </c>
      <c r="J17" s="22">
        <v>879.99</v>
      </c>
      <c r="K17" s="14">
        <v>25</v>
      </c>
      <c r="L17" s="22">
        <v>21999.75</v>
      </c>
    </row>
    <row r="18" spans="3:12" outlineLevel="2" x14ac:dyDescent="0.25">
      <c r="C18" s="18">
        <v>43263</v>
      </c>
      <c r="D18" s="14">
        <v>6</v>
      </c>
      <c r="E18" s="14">
        <v>2018</v>
      </c>
      <c r="F18" s="14">
        <v>100103</v>
      </c>
      <c r="G18" s="27" t="s">
        <v>18</v>
      </c>
      <c r="H18" s="14">
        <v>1012</v>
      </c>
      <c r="I18" s="28" t="s">
        <v>7</v>
      </c>
      <c r="J18" s="22">
        <v>1350</v>
      </c>
      <c r="K18" s="14">
        <v>25</v>
      </c>
      <c r="L18" s="22">
        <v>33750</v>
      </c>
    </row>
    <row r="19" spans="3:12" outlineLevel="2" x14ac:dyDescent="0.25">
      <c r="C19" s="18">
        <v>43257</v>
      </c>
      <c r="D19" s="14">
        <v>6</v>
      </c>
      <c r="E19" s="14">
        <v>2018</v>
      </c>
      <c r="F19" s="14">
        <v>100103</v>
      </c>
      <c r="G19" s="27" t="s">
        <v>18</v>
      </c>
      <c r="H19" s="14">
        <v>1015</v>
      </c>
      <c r="I19" s="28" t="s">
        <v>10</v>
      </c>
      <c r="J19" s="22">
        <v>20</v>
      </c>
      <c r="K19" s="14">
        <v>20</v>
      </c>
      <c r="L19" s="22">
        <v>400</v>
      </c>
    </row>
    <row r="20" spans="3:12" outlineLevel="2" x14ac:dyDescent="0.25">
      <c r="C20" s="18">
        <v>43263</v>
      </c>
      <c r="D20" s="14">
        <v>6</v>
      </c>
      <c r="E20" s="14">
        <v>2018</v>
      </c>
      <c r="F20" s="14">
        <v>100103</v>
      </c>
      <c r="G20" s="27" t="s">
        <v>18</v>
      </c>
      <c r="H20" s="14">
        <v>1016</v>
      </c>
      <c r="I20" s="28" t="s">
        <v>11</v>
      </c>
      <c r="J20" s="22">
        <v>1249.99</v>
      </c>
      <c r="K20" s="14">
        <v>15</v>
      </c>
      <c r="L20" s="22">
        <v>18749.849999999999</v>
      </c>
    </row>
    <row r="21" spans="3:12" outlineLevel="2" x14ac:dyDescent="0.25">
      <c r="C21" s="18">
        <v>43257</v>
      </c>
      <c r="D21" s="14">
        <v>6</v>
      </c>
      <c r="E21" s="14">
        <v>2018</v>
      </c>
      <c r="F21" s="14">
        <v>100103</v>
      </c>
      <c r="G21" s="27" t="s">
        <v>18</v>
      </c>
      <c r="H21" s="14">
        <v>1016</v>
      </c>
      <c r="I21" s="28" t="s">
        <v>11</v>
      </c>
      <c r="J21" s="22">
        <v>1249.99</v>
      </c>
      <c r="K21" s="14">
        <v>20</v>
      </c>
      <c r="L21" s="22">
        <v>24999.8</v>
      </c>
    </row>
    <row r="22" spans="3:12" outlineLevel="2" x14ac:dyDescent="0.25">
      <c r="C22" s="18">
        <v>43302</v>
      </c>
      <c r="D22" s="14">
        <v>7</v>
      </c>
      <c r="E22" s="14">
        <v>2018</v>
      </c>
      <c r="F22" s="14">
        <v>100103</v>
      </c>
      <c r="G22" s="27" t="s">
        <v>18</v>
      </c>
      <c r="H22" s="14">
        <v>1015</v>
      </c>
      <c r="I22" s="28" t="s">
        <v>10</v>
      </c>
      <c r="J22" s="22">
        <v>20</v>
      </c>
      <c r="K22" s="14">
        <v>18</v>
      </c>
      <c r="L22" s="22">
        <v>360</v>
      </c>
    </row>
    <row r="23" spans="3:12" outlineLevel="2" x14ac:dyDescent="0.25">
      <c r="C23" s="18">
        <v>43293</v>
      </c>
      <c r="D23" s="14">
        <v>7</v>
      </c>
      <c r="E23" s="14">
        <v>2018</v>
      </c>
      <c r="F23" s="14">
        <v>100103</v>
      </c>
      <c r="G23" s="27" t="s">
        <v>18</v>
      </c>
      <c r="H23" s="14">
        <v>1016</v>
      </c>
      <c r="I23" s="28" t="s">
        <v>11</v>
      </c>
      <c r="J23" s="22">
        <v>1249.99</v>
      </c>
      <c r="K23" s="14">
        <v>7</v>
      </c>
      <c r="L23" s="22">
        <v>8749.93</v>
      </c>
    </row>
    <row r="24" spans="3:12" outlineLevel="2" x14ac:dyDescent="0.25">
      <c r="C24" s="18">
        <v>43286</v>
      </c>
      <c r="D24" s="14">
        <v>7</v>
      </c>
      <c r="E24" s="14">
        <v>2018</v>
      </c>
      <c r="F24" s="14">
        <v>100103</v>
      </c>
      <c r="G24" s="27" t="s">
        <v>18</v>
      </c>
      <c r="H24" s="14">
        <v>1016</v>
      </c>
      <c r="I24" s="28" t="s">
        <v>11</v>
      </c>
      <c r="J24" s="22">
        <v>1249.99</v>
      </c>
      <c r="K24" s="14">
        <v>17</v>
      </c>
      <c r="L24" s="22">
        <v>21249.83</v>
      </c>
    </row>
    <row r="25" spans="3:12" outlineLevel="2" x14ac:dyDescent="0.25">
      <c r="C25" s="18">
        <v>43283</v>
      </c>
      <c r="D25" s="14">
        <v>7</v>
      </c>
      <c r="E25" s="14">
        <v>2018</v>
      </c>
      <c r="F25" s="14">
        <v>100103</v>
      </c>
      <c r="G25" s="27" t="s">
        <v>18</v>
      </c>
      <c r="H25" s="14">
        <v>1018</v>
      </c>
      <c r="I25" s="28" t="s">
        <v>13</v>
      </c>
      <c r="J25" s="22">
        <v>2200.9899999999998</v>
      </c>
      <c r="K25" s="14">
        <v>15</v>
      </c>
      <c r="L25" s="22">
        <v>33014.85</v>
      </c>
    </row>
    <row r="26" spans="3:12" outlineLevel="2" x14ac:dyDescent="0.25">
      <c r="C26" s="18">
        <v>43296</v>
      </c>
      <c r="D26" s="14">
        <v>7</v>
      </c>
      <c r="E26" s="14">
        <v>2018</v>
      </c>
      <c r="F26" s="14">
        <v>100103</v>
      </c>
      <c r="G26" s="27" t="s">
        <v>18</v>
      </c>
      <c r="H26" s="14">
        <v>1018</v>
      </c>
      <c r="I26" s="28" t="s">
        <v>13</v>
      </c>
      <c r="J26" s="22">
        <v>2200.9899999999998</v>
      </c>
      <c r="K26" s="14">
        <v>20</v>
      </c>
      <c r="L26" s="22">
        <v>44019.799999999996</v>
      </c>
    </row>
    <row r="27" spans="3:12" outlineLevel="2" x14ac:dyDescent="0.25">
      <c r="C27" s="18">
        <v>43320</v>
      </c>
      <c r="D27" s="14">
        <v>8</v>
      </c>
      <c r="E27" s="14">
        <v>2018</v>
      </c>
      <c r="F27" s="14">
        <v>100103</v>
      </c>
      <c r="G27" s="27" t="s">
        <v>18</v>
      </c>
      <c r="H27" s="14">
        <v>1017</v>
      </c>
      <c r="I27" s="28" t="s">
        <v>12</v>
      </c>
      <c r="J27" s="22">
        <v>879.99</v>
      </c>
      <c r="K27" s="14">
        <v>8</v>
      </c>
      <c r="L27" s="22">
        <v>7039.92</v>
      </c>
    </row>
    <row r="28" spans="3:12" outlineLevel="2" x14ac:dyDescent="0.25">
      <c r="C28" s="18">
        <v>43324</v>
      </c>
      <c r="D28" s="14">
        <v>8</v>
      </c>
      <c r="E28" s="14">
        <v>2018</v>
      </c>
      <c r="F28" s="14">
        <v>100103</v>
      </c>
      <c r="G28" s="27" t="s">
        <v>18</v>
      </c>
      <c r="H28" s="14">
        <v>1018</v>
      </c>
      <c r="I28" s="28" t="s">
        <v>13</v>
      </c>
      <c r="J28" s="22">
        <v>2200.9899999999998</v>
      </c>
      <c r="K28" s="14">
        <v>9</v>
      </c>
      <c r="L28" s="22">
        <v>19808.909999999996</v>
      </c>
    </row>
    <row r="29" spans="3:12" outlineLevel="2" x14ac:dyDescent="0.25">
      <c r="C29" s="18">
        <v>43321</v>
      </c>
      <c r="D29" s="14">
        <v>8</v>
      </c>
      <c r="E29" s="14">
        <v>2018</v>
      </c>
      <c r="F29" s="14">
        <v>100103</v>
      </c>
      <c r="G29" s="27" t="s">
        <v>18</v>
      </c>
      <c r="H29" s="14">
        <v>1017</v>
      </c>
      <c r="I29" s="28" t="s">
        <v>12</v>
      </c>
      <c r="J29" s="22">
        <v>879.99</v>
      </c>
      <c r="K29" s="14">
        <v>11</v>
      </c>
      <c r="L29" s="22">
        <v>9679.89</v>
      </c>
    </row>
    <row r="30" spans="3:12" outlineLevel="2" x14ac:dyDescent="0.25">
      <c r="C30" s="18">
        <v>43318</v>
      </c>
      <c r="D30" s="14">
        <v>8</v>
      </c>
      <c r="E30" s="14">
        <v>2018</v>
      </c>
      <c r="F30" s="14">
        <v>100103</v>
      </c>
      <c r="G30" s="27" t="s">
        <v>18</v>
      </c>
      <c r="H30" s="14">
        <v>1017</v>
      </c>
      <c r="I30" s="28" t="s">
        <v>12</v>
      </c>
      <c r="J30" s="22">
        <v>879.99</v>
      </c>
      <c r="K30" s="14">
        <v>13</v>
      </c>
      <c r="L30" s="22">
        <v>11439.87</v>
      </c>
    </row>
    <row r="31" spans="3:12" outlineLevel="2" x14ac:dyDescent="0.25">
      <c r="C31" s="18">
        <v>43337</v>
      </c>
      <c r="D31" s="14">
        <v>8</v>
      </c>
      <c r="E31" s="14">
        <v>2018</v>
      </c>
      <c r="F31" s="14">
        <v>100103</v>
      </c>
      <c r="G31" s="27" t="s">
        <v>18</v>
      </c>
      <c r="H31" s="14">
        <v>1016</v>
      </c>
      <c r="I31" s="28" t="s">
        <v>11</v>
      </c>
      <c r="J31" s="22">
        <v>1249.99</v>
      </c>
      <c r="K31" s="14">
        <v>7</v>
      </c>
      <c r="L31" s="22">
        <v>8749.93</v>
      </c>
    </row>
    <row r="32" spans="3:12" outlineLevel="2" x14ac:dyDescent="0.25">
      <c r="C32" s="18">
        <v>43483</v>
      </c>
      <c r="D32" s="14">
        <v>1</v>
      </c>
      <c r="E32" s="14">
        <v>2019</v>
      </c>
      <c r="F32" s="14">
        <v>100103</v>
      </c>
      <c r="G32" s="27" t="s">
        <v>18</v>
      </c>
      <c r="H32" s="14">
        <v>1015</v>
      </c>
      <c r="I32" s="28" t="s">
        <v>10</v>
      </c>
      <c r="J32" s="22">
        <v>20</v>
      </c>
      <c r="K32" s="14">
        <v>8</v>
      </c>
      <c r="L32" s="22">
        <v>160</v>
      </c>
    </row>
    <row r="33" spans="3:12" outlineLevel="2" x14ac:dyDescent="0.25">
      <c r="C33" s="18">
        <v>43471</v>
      </c>
      <c r="D33" s="14">
        <v>1</v>
      </c>
      <c r="E33" s="14">
        <v>2019</v>
      </c>
      <c r="F33" s="14">
        <v>100103</v>
      </c>
      <c r="G33" s="27" t="s">
        <v>18</v>
      </c>
      <c r="H33" s="14">
        <v>1014</v>
      </c>
      <c r="I33" s="28" t="s">
        <v>9</v>
      </c>
      <c r="J33" s="22">
        <v>35</v>
      </c>
      <c r="K33" s="14">
        <v>28</v>
      </c>
      <c r="L33" s="22">
        <v>980</v>
      </c>
    </row>
    <row r="34" spans="3:12" outlineLevel="1" x14ac:dyDescent="0.25">
      <c r="C34" s="18"/>
      <c r="D34" s="14"/>
      <c r="E34" s="14"/>
      <c r="F34" s="14"/>
      <c r="G34" s="59" t="s">
        <v>80</v>
      </c>
      <c r="H34" s="14"/>
      <c r="I34" s="28"/>
      <c r="J34" s="22"/>
      <c r="K34" s="14">
        <f>SUBTOTAL(9,K10:K33)</f>
        <v>338</v>
      </c>
      <c r="L34" s="22">
        <f>SUBTOTAL(9,L10:L33)</f>
        <v>327127.92999999993</v>
      </c>
    </row>
    <row r="35" spans="3:12" outlineLevel="2" x14ac:dyDescent="0.25">
      <c r="C35" s="18">
        <v>43471</v>
      </c>
      <c r="D35" s="14">
        <v>1</v>
      </c>
      <c r="E35" s="14">
        <v>2019</v>
      </c>
      <c r="F35" s="14">
        <v>100102</v>
      </c>
      <c r="G35" s="27" t="s">
        <v>17</v>
      </c>
      <c r="H35" s="14">
        <v>1011</v>
      </c>
      <c r="I35" s="28" t="s">
        <v>6</v>
      </c>
      <c r="J35" s="22">
        <v>1669</v>
      </c>
      <c r="K35" s="14">
        <v>30</v>
      </c>
      <c r="L35" s="22">
        <v>50070</v>
      </c>
    </row>
    <row r="36" spans="3:12" outlineLevel="2" x14ac:dyDescent="0.25">
      <c r="C36" s="18">
        <v>43475</v>
      </c>
      <c r="D36" s="14">
        <v>1</v>
      </c>
      <c r="E36" s="14">
        <v>2019</v>
      </c>
      <c r="F36" s="14">
        <v>100102</v>
      </c>
      <c r="G36" s="27" t="s">
        <v>17</v>
      </c>
      <c r="H36" s="14">
        <v>1011</v>
      </c>
      <c r="I36" s="28" t="s">
        <v>6</v>
      </c>
      <c r="J36" s="22">
        <v>1669</v>
      </c>
      <c r="K36" s="14">
        <v>15</v>
      </c>
      <c r="L36" s="22">
        <v>25035</v>
      </c>
    </row>
    <row r="37" spans="3:12" outlineLevel="2" x14ac:dyDescent="0.25">
      <c r="C37" s="18">
        <v>43474</v>
      </c>
      <c r="D37" s="14">
        <v>1</v>
      </c>
      <c r="E37" s="14">
        <v>2019</v>
      </c>
      <c r="F37" s="14">
        <v>100102</v>
      </c>
      <c r="G37" s="27" t="s">
        <v>17</v>
      </c>
      <c r="H37" s="14">
        <v>1018</v>
      </c>
      <c r="I37" s="28" t="s">
        <v>13</v>
      </c>
      <c r="J37" s="22">
        <v>2200.9899999999998</v>
      </c>
      <c r="K37" s="14">
        <v>11</v>
      </c>
      <c r="L37" s="22">
        <v>24210.89</v>
      </c>
    </row>
    <row r="38" spans="3:12" outlineLevel="2" x14ac:dyDescent="0.25">
      <c r="C38" s="18">
        <v>43473</v>
      </c>
      <c r="D38" s="14">
        <v>1</v>
      </c>
      <c r="E38" s="14">
        <v>2019</v>
      </c>
      <c r="F38" s="14">
        <v>100102</v>
      </c>
      <c r="G38" s="27" t="s">
        <v>17</v>
      </c>
      <c r="H38" s="14">
        <v>1013</v>
      </c>
      <c r="I38" s="28" t="s">
        <v>8</v>
      </c>
      <c r="J38" s="22">
        <v>750</v>
      </c>
      <c r="K38" s="14">
        <v>17</v>
      </c>
      <c r="L38" s="22">
        <v>12750</v>
      </c>
    </row>
    <row r="39" spans="3:12" outlineLevel="2" x14ac:dyDescent="0.25">
      <c r="C39" s="18">
        <v>43477</v>
      </c>
      <c r="D39" s="14">
        <v>1</v>
      </c>
      <c r="E39" s="14">
        <v>2019</v>
      </c>
      <c r="F39" s="14">
        <v>100102</v>
      </c>
      <c r="G39" s="27" t="s">
        <v>17</v>
      </c>
      <c r="H39" s="14">
        <v>1016</v>
      </c>
      <c r="I39" s="28" t="s">
        <v>11</v>
      </c>
      <c r="J39" s="22">
        <v>1249.99</v>
      </c>
      <c r="K39" s="14">
        <v>18</v>
      </c>
      <c r="L39" s="22">
        <v>22499.82</v>
      </c>
    </row>
    <row r="40" spans="3:12" outlineLevel="2" x14ac:dyDescent="0.25">
      <c r="C40" s="18">
        <v>43487</v>
      </c>
      <c r="D40" s="14">
        <v>1</v>
      </c>
      <c r="E40" s="14">
        <v>2019</v>
      </c>
      <c r="F40" s="14">
        <v>100102</v>
      </c>
      <c r="G40" s="27" t="s">
        <v>17</v>
      </c>
      <c r="H40" s="14">
        <v>1014</v>
      </c>
      <c r="I40" s="28" t="s">
        <v>9</v>
      </c>
      <c r="J40" s="22">
        <v>35</v>
      </c>
      <c r="K40" s="14">
        <v>28</v>
      </c>
      <c r="L40" s="22">
        <v>980</v>
      </c>
    </row>
    <row r="41" spans="3:12" outlineLevel="1" x14ac:dyDescent="0.25">
      <c r="C41" s="51"/>
      <c r="D41" s="39"/>
      <c r="E41" s="39"/>
      <c r="F41" s="39"/>
      <c r="G41" s="60" t="s">
        <v>81</v>
      </c>
      <c r="H41" s="39"/>
      <c r="I41" s="58"/>
      <c r="J41" s="52"/>
      <c r="K41" s="39">
        <f>SUBTOTAL(9,K35:K40)</f>
        <v>119</v>
      </c>
      <c r="L41" s="52">
        <f>SUBTOTAL(9,L35:L40)</f>
        <v>135545.71</v>
      </c>
    </row>
    <row r="42" spans="3:12" x14ac:dyDescent="0.25">
      <c r="C42" s="51"/>
      <c r="D42" s="39"/>
      <c r="E42" s="39"/>
      <c r="F42" s="39"/>
      <c r="G42" s="60" t="s">
        <v>62</v>
      </c>
      <c r="H42" s="39"/>
      <c r="I42" s="58"/>
      <c r="J42" s="52"/>
      <c r="K42" s="39">
        <f>SUBTOTAL(9,K5:K40)</f>
        <v>511</v>
      </c>
      <c r="L42" s="52">
        <f>SUBTOTAL(9,L5:L40)</f>
        <v>540343.6399999999</v>
      </c>
    </row>
  </sheetData>
  <sortState ref="C5:L40">
    <sortCondition ref="G5:G40"/>
    <sortCondition ref="E5:E40"/>
    <sortCondition ref="D5:D40"/>
  </sortState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2959E-E166-43C4-99C5-F8013F6B27AA}">
  <sheetPr codeName="Planilha17"/>
  <dimension ref="C4:L48"/>
  <sheetViews>
    <sheetView topLeftCell="B1" workbookViewId="0">
      <selection activeCell="D1" sqref="D1"/>
    </sheetView>
  </sheetViews>
  <sheetFormatPr defaultRowHeight="15" outlineLevelRow="2" x14ac:dyDescent="0.25"/>
  <cols>
    <col min="3" max="3" width="10.7109375" bestFit="1" customWidth="1"/>
    <col min="4" max="4" width="4.7109375" bestFit="1" customWidth="1"/>
    <col min="5" max="5" width="5" bestFit="1" customWidth="1"/>
    <col min="6" max="6" width="9.42578125" bestFit="1" customWidth="1"/>
    <col min="7" max="7" width="19.5703125" bestFit="1" customWidth="1"/>
    <col min="8" max="8" width="14.85546875" bestFit="1" customWidth="1"/>
    <col min="9" max="9" width="37.42578125" bestFit="1" customWidth="1"/>
    <col min="10" max="10" width="10.7109375" bestFit="1" customWidth="1"/>
    <col min="11" max="11" width="11.140625" bestFit="1" customWidth="1"/>
    <col min="12" max="12" width="18.5703125" customWidth="1"/>
  </cols>
  <sheetData>
    <row r="4" spans="3:12" x14ac:dyDescent="0.25">
      <c r="C4" s="30" t="s">
        <v>37</v>
      </c>
      <c r="D4" s="30" t="s">
        <v>38</v>
      </c>
      <c r="E4" s="30" t="s">
        <v>39</v>
      </c>
      <c r="F4" s="30" t="s">
        <v>40</v>
      </c>
      <c r="G4" s="30" t="s">
        <v>41</v>
      </c>
      <c r="H4" s="30" t="s">
        <v>42</v>
      </c>
      <c r="I4" s="30" t="s">
        <v>43</v>
      </c>
      <c r="J4" s="30" t="s">
        <v>44</v>
      </c>
      <c r="K4" s="30" t="s">
        <v>45</v>
      </c>
      <c r="L4" s="30" t="s">
        <v>46</v>
      </c>
    </row>
    <row r="5" spans="3:12" outlineLevel="2" x14ac:dyDescent="0.25">
      <c r="C5" s="18">
        <v>43101</v>
      </c>
      <c r="D5" s="14">
        <v>1</v>
      </c>
      <c r="E5" s="14">
        <v>2018</v>
      </c>
      <c r="F5" s="14">
        <v>100101</v>
      </c>
      <c r="G5" s="27" t="s">
        <v>16</v>
      </c>
      <c r="H5" s="14">
        <v>1011</v>
      </c>
      <c r="I5" s="28" t="s">
        <v>6</v>
      </c>
      <c r="J5" s="22">
        <v>1669</v>
      </c>
      <c r="K5" s="14">
        <v>20</v>
      </c>
      <c r="L5" s="22">
        <v>33380</v>
      </c>
    </row>
    <row r="6" spans="3:12" outlineLevel="2" x14ac:dyDescent="0.25">
      <c r="C6" s="18">
        <v>43115</v>
      </c>
      <c r="D6" s="14">
        <v>1</v>
      </c>
      <c r="E6" s="14">
        <v>2018</v>
      </c>
      <c r="F6" s="14">
        <v>100101</v>
      </c>
      <c r="G6" s="27" t="s">
        <v>16</v>
      </c>
      <c r="H6" s="14">
        <v>1011</v>
      </c>
      <c r="I6" s="28" t="s">
        <v>6</v>
      </c>
      <c r="J6" s="22">
        <v>1669</v>
      </c>
      <c r="K6" s="14">
        <v>10</v>
      </c>
      <c r="L6" s="22">
        <v>16690</v>
      </c>
    </row>
    <row r="7" spans="3:12" outlineLevel="2" x14ac:dyDescent="0.25">
      <c r="C7" s="18">
        <v>43108</v>
      </c>
      <c r="D7" s="14">
        <v>1</v>
      </c>
      <c r="E7" s="14">
        <v>2018</v>
      </c>
      <c r="F7" s="14">
        <v>100103</v>
      </c>
      <c r="G7" s="27" t="s">
        <v>18</v>
      </c>
      <c r="H7" s="14">
        <v>1014</v>
      </c>
      <c r="I7" s="28" t="s">
        <v>9</v>
      </c>
      <c r="J7" s="22">
        <v>35</v>
      </c>
      <c r="K7" s="14">
        <v>6</v>
      </c>
      <c r="L7" s="22">
        <v>210</v>
      </c>
    </row>
    <row r="8" spans="3:12" outlineLevel="1" x14ac:dyDescent="0.25">
      <c r="C8" s="18"/>
      <c r="D8" s="50" t="s">
        <v>63</v>
      </c>
      <c r="E8" s="14"/>
      <c r="F8" s="14"/>
      <c r="G8" s="27"/>
      <c r="H8" s="14"/>
      <c r="I8" s="28"/>
      <c r="J8" s="22"/>
      <c r="K8" s="14">
        <f>SUBTOTAL(9,K5:K7)</f>
        <v>36</v>
      </c>
      <c r="L8" s="22">
        <f>SUBTOTAL(9,L5:L7)</f>
        <v>50280</v>
      </c>
    </row>
    <row r="9" spans="3:12" outlineLevel="2" x14ac:dyDescent="0.25">
      <c r="C9" s="18">
        <v>43132</v>
      </c>
      <c r="D9" s="14">
        <v>2</v>
      </c>
      <c r="E9" s="14">
        <v>2018</v>
      </c>
      <c r="F9" s="14">
        <v>100103</v>
      </c>
      <c r="G9" s="27" t="s">
        <v>18</v>
      </c>
      <c r="H9" s="14">
        <v>1011</v>
      </c>
      <c r="I9" s="28" t="s">
        <v>6</v>
      </c>
      <c r="J9" s="22">
        <v>1669</v>
      </c>
      <c r="K9" s="14">
        <v>6</v>
      </c>
      <c r="L9" s="22">
        <v>10014</v>
      </c>
    </row>
    <row r="10" spans="3:12" outlineLevel="2" x14ac:dyDescent="0.25">
      <c r="C10" s="18">
        <v>43136</v>
      </c>
      <c r="D10" s="14">
        <v>2</v>
      </c>
      <c r="E10" s="14">
        <v>2018</v>
      </c>
      <c r="F10" s="14">
        <v>100103</v>
      </c>
      <c r="G10" s="27" t="s">
        <v>18</v>
      </c>
      <c r="H10" s="14">
        <v>1014</v>
      </c>
      <c r="I10" s="28" t="s">
        <v>9</v>
      </c>
      <c r="J10" s="22">
        <v>35</v>
      </c>
      <c r="K10" s="14">
        <v>12</v>
      </c>
      <c r="L10" s="22">
        <v>420</v>
      </c>
    </row>
    <row r="11" spans="3:12" outlineLevel="1" x14ac:dyDescent="0.25">
      <c r="C11" s="18"/>
      <c r="D11" s="50" t="s">
        <v>64</v>
      </c>
      <c r="E11" s="14"/>
      <c r="F11" s="14"/>
      <c r="G11" s="27"/>
      <c r="H11" s="14"/>
      <c r="I11" s="28"/>
      <c r="J11" s="22"/>
      <c r="K11" s="14">
        <f>SUBTOTAL(9,K9:K10)</f>
        <v>18</v>
      </c>
      <c r="L11" s="22">
        <f>SUBTOTAL(9,L9:L10)</f>
        <v>10434</v>
      </c>
    </row>
    <row r="12" spans="3:12" outlineLevel="2" x14ac:dyDescent="0.25">
      <c r="C12" s="18">
        <v>43165</v>
      </c>
      <c r="D12" s="14">
        <v>3</v>
      </c>
      <c r="E12" s="14">
        <v>2018</v>
      </c>
      <c r="F12" s="14">
        <v>100103</v>
      </c>
      <c r="G12" s="27" t="s">
        <v>18</v>
      </c>
      <c r="H12" s="14">
        <v>1017</v>
      </c>
      <c r="I12" s="28" t="s">
        <v>12</v>
      </c>
      <c r="J12" s="22">
        <v>879.99</v>
      </c>
      <c r="K12" s="14">
        <v>8</v>
      </c>
      <c r="L12" s="22">
        <v>7039.92</v>
      </c>
    </row>
    <row r="13" spans="3:12" outlineLevel="1" x14ac:dyDescent="0.25">
      <c r="C13" s="18"/>
      <c r="D13" s="50" t="s">
        <v>65</v>
      </c>
      <c r="E13" s="14"/>
      <c r="F13" s="14"/>
      <c r="G13" s="27"/>
      <c r="H13" s="14"/>
      <c r="I13" s="28"/>
      <c r="J13" s="22"/>
      <c r="K13" s="14">
        <f>SUBTOTAL(9,K12:K12)</f>
        <v>8</v>
      </c>
      <c r="L13" s="22">
        <f>SUBTOTAL(9,L12:L12)</f>
        <v>7039.92</v>
      </c>
    </row>
    <row r="14" spans="3:12" outlineLevel="2" x14ac:dyDescent="0.25">
      <c r="C14" s="18">
        <v>43195</v>
      </c>
      <c r="D14" s="14">
        <v>4</v>
      </c>
      <c r="E14" s="14">
        <v>2018</v>
      </c>
      <c r="F14" s="14">
        <v>100103</v>
      </c>
      <c r="G14" s="27" t="s">
        <v>18</v>
      </c>
      <c r="H14" s="14">
        <v>1018</v>
      </c>
      <c r="I14" s="28" t="s">
        <v>13</v>
      </c>
      <c r="J14" s="22">
        <v>2200.9899999999998</v>
      </c>
      <c r="K14" s="14">
        <v>12</v>
      </c>
      <c r="L14" s="22">
        <v>26411.879999999997</v>
      </c>
    </row>
    <row r="15" spans="3:12" outlineLevel="1" x14ac:dyDescent="0.25">
      <c r="C15" s="18"/>
      <c r="D15" s="50" t="s">
        <v>66</v>
      </c>
      <c r="E15" s="14"/>
      <c r="F15" s="14"/>
      <c r="G15" s="27"/>
      <c r="H15" s="14"/>
      <c r="I15" s="28"/>
      <c r="J15" s="22"/>
      <c r="K15" s="14">
        <f>SUBTOTAL(9,K14:K14)</f>
        <v>12</v>
      </c>
      <c r="L15" s="22">
        <f>SUBTOTAL(9,L14:L14)</f>
        <v>26411.879999999997</v>
      </c>
    </row>
    <row r="16" spans="3:12" outlineLevel="2" x14ac:dyDescent="0.25">
      <c r="C16" s="18">
        <v>43226</v>
      </c>
      <c r="D16" s="14">
        <v>5</v>
      </c>
      <c r="E16" s="14">
        <v>2018</v>
      </c>
      <c r="F16" s="14">
        <v>100103</v>
      </c>
      <c r="G16" s="27" t="s">
        <v>18</v>
      </c>
      <c r="H16" s="14">
        <v>1014</v>
      </c>
      <c r="I16" s="28" t="s">
        <v>9</v>
      </c>
      <c r="J16" s="22">
        <v>35</v>
      </c>
      <c r="K16" s="14">
        <v>8</v>
      </c>
      <c r="L16" s="22">
        <v>280</v>
      </c>
    </row>
    <row r="17" spans="3:12" outlineLevel="2" x14ac:dyDescent="0.25">
      <c r="C17" s="18">
        <v>43236</v>
      </c>
      <c r="D17" s="14">
        <v>5</v>
      </c>
      <c r="E17" s="14">
        <v>2018</v>
      </c>
      <c r="F17" s="14">
        <v>100103</v>
      </c>
      <c r="G17" s="27" t="s">
        <v>18</v>
      </c>
      <c r="H17" s="14">
        <v>1017</v>
      </c>
      <c r="I17" s="28" t="s">
        <v>12</v>
      </c>
      <c r="J17" s="22">
        <v>879.99</v>
      </c>
      <c r="K17" s="14">
        <v>20</v>
      </c>
      <c r="L17" s="22">
        <v>17599.8</v>
      </c>
    </row>
    <row r="18" spans="3:12" outlineLevel="1" x14ac:dyDescent="0.25">
      <c r="C18" s="18"/>
      <c r="D18" s="50" t="s">
        <v>67</v>
      </c>
      <c r="E18" s="14"/>
      <c r="F18" s="14"/>
      <c r="G18" s="27"/>
      <c r="H18" s="14"/>
      <c r="I18" s="28"/>
      <c r="J18" s="22"/>
      <c r="K18" s="14">
        <f>SUBTOTAL(9,K16:K17)</f>
        <v>28</v>
      </c>
      <c r="L18" s="22">
        <f>SUBTOTAL(9,L16:L17)</f>
        <v>17879.8</v>
      </c>
    </row>
    <row r="19" spans="3:12" outlineLevel="2" x14ac:dyDescent="0.25">
      <c r="C19" s="18">
        <v>43266</v>
      </c>
      <c r="D19" s="14">
        <v>6</v>
      </c>
      <c r="E19" s="14">
        <v>2018</v>
      </c>
      <c r="F19" s="14">
        <v>100103</v>
      </c>
      <c r="G19" s="27" t="s">
        <v>18</v>
      </c>
      <c r="H19" s="14">
        <v>1017</v>
      </c>
      <c r="I19" s="28" t="s">
        <v>12</v>
      </c>
      <c r="J19" s="22">
        <v>879.99</v>
      </c>
      <c r="K19" s="14">
        <v>25</v>
      </c>
      <c r="L19" s="22">
        <v>21999.75</v>
      </c>
    </row>
    <row r="20" spans="3:12" outlineLevel="2" x14ac:dyDescent="0.25">
      <c r="C20" s="18">
        <v>43263</v>
      </c>
      <c r="D20" s="14">
        <v>6</v>
      </c>
      <c r="E20" s="14">
        <v>2018</v>
      </c>
      <c r="F20" s="14">
        <v>100103</v>
      </c>
      <c r="G20" s="27" t="s">
        <v>18</v>
      </c>
      <c r="H20" s="14">
        <v>1012</v>
      </c>
      <c r="I20" s="28" t="s">
        <v>7</v>
      </c>
      <c r="J20" s="22">
        <v>1350</v>
      </c>
      <c r="K20" s="14">
        <v>25</v>
      </c>
      <c r="L20" s="22">
        <v>33750</v>
      </c>
    </row>
    <row r="21" spans="3:12" outlineLevel="2" x14ac:dyDescent="0.25">
      <c r="C21" s="18">
        <v>43257</v>
      </c>
      <c r="D21" s="14">
        <v>6</v>
      </c>
      <c r="E21" s="14">
        <v>2018</v>
      </c>
      <c r="F21" s="14">
        <v>100103</v>
      </c>
      <c r="G21" s="27" t="s">
        <v>18</v>
      </c>
      <c r="H21" s="14">
        <v>1015</v>
      </c>
      <c r="I21" s="28" t="s">
        <v>10</v>
      </c>
      <c r="J21" s="22">
        <v>20</v>
      </c>
      <c r="K21" s="14">
        <v>20</v>
      </c>
      <c r="L21" s="22">
        <v>400</v>
      </c>
    </row>
    <row r="22" spans="3:12" outlineLevel="2" x14ac:dyDescent="0.25">
      <c r="C22" s="18">
        <v>43263</v>
      </c>
      <c r="D22" s="14">
        <v>6</v>
      </c>
      <c r="E22" s="14">
        <v>2018</v>
      </c>
      <c r="F22" s="14">
        <v>100103</v>
      </c>
      <c r="G22" s="27" t="s">
        <v>18</v>
      </c>
      <c r="H22" s="14">
        <v>1016</v>
      </c>
      <c r="I22" s="28" t="s">
        <v>11</v>
      </c>
      <c r="J22" s="22">
        <v>1249.99</v>
      </c>
      <c r="K22" s="14">
        <v>15</v>
      </c>
      <c r="L22" s="22">
        <v>18749.849999999999</v>
      </c>
    </row>
    <row r="23" spans="3:12" outlineLevel="2" x14ac:dyDescent="0.25">
      <c r="C23" s="18">
        <v>43257</v>
      </c>
      <c r="D23" s="14">
        <v>6</v>
      </c>
      <c r="E23" s="14">
        <v>2018</v>
      </c>
      <c r="F23" s="14">
        <v>100103</v>
      </c>
      <c r="G23" s="27" t="s">
        <v>18</v>
      </c>
      <c r="H23" s="14">
        <v>1016</v>
      </c>
      <c r="I23" s="28" t="s">
        <v>11</v>
      </c>
      <c r="J23" s="22">
        <v>1249.99</v>
      </c>
      <c r="K23" s="14">
        <v>20</v>
      </c>
      <c r="L23" s="22">
        <v>24999.8</v>
      </c>
    </row>
    <row r="24" spans="3:12" outlineLevel="1" x14ac:dyDescent="0.25">
      <c r="C24" s="18"/>
      <c r="D24" s="50" t="s">
        <v>68</v>
      </c>
      <c r="E24" s="14"/>
      <c r="F24" s="14"/>
      <c r="G24" s="27"/>
      <c r="H24" s="14"/>
      <c r="I24" s="28"/>
      <c r="J24" s="22"/>
      <c r="K24" s="14">
        <f>SUBTOTAL(9,K19:K23)</f>
        <v>105</v>
      </c>
      <c r="L24" s="22">
        <f>SUBTOTAL(9,L19:L23)</f>
        <v>99899.400000000009</v>
      </c>
    </row>
    <row r="25" spans="3:12" outlineLevel="2" x14ac:dyDescent="0.25">
      <c r="C25" s="18">
        <v>43302</v>
      </c>
      <c r="D25" s="14">
        <v>7</v>
      </c>
      <c r="E25" s="14">
        <v>2018</v>
      </c>
      <c r="F25" s="14">
        <v>100103</v>
      </c>
      <c r="G25" s="27" t="s">
        <v>18</v>
      </c>
      <c r="H25" s="14">
        <v>1015</v>
      </c>
      <c r="I25" s="28" t="s">
        <v>10</v>
      </c>
      <c r="J25" s="22">
        <v>20</v>
      </c>
      <c r="K25" s="14">
        <v>18</v>
      </c>
      <c r="L25" s="22">
        <v>360</v>
      </c>
    </row>
    <row r="26" spans="3:12" outlineLevel="2" x14ac:dyDescent="0.25">
      <c r="C26" s="18">
        <v>43293</v>
      </c>
      <c r="D26" s="14">
        <v>7</v>
      </c>
      <c r="E26" s="14">
        <v>2018</v>
      </c>
      <c r="F26" s="14">
        <v>100103</v>
      </c>
      <c r="G26" s="27" t="s">
        <v>18</v>
      </c>
      <c r="H26" s="14">
        <v>1016</v>
      </c>
      <c r="I26" s="28" t="s">
        <v>11</v>
      </c>
      <c r="J26" s="22">
        <v>1249.99</v>
      </c>
      <c r="K26" s="14">
        <v>7</v>
      </c>
      <c r="L26" s="22">
        <v>8749.93</v>
      </c>
    </row>
    <row r="27" spans="3:12" outlineLevel="2" x14ac:dyDescent="0.25">
      <c r="C27" s="18">
        <v>43286</v>
      </c>
      <c r="D27" s="14">
        <v>7</v>
      </c>
      <c r="E27" s="14">
        <v>2018</v>
      </c>
      <c r="F27" s="14">
        <v>100103</v>
      </c>
      <c r="G27" s="27" t="s">
        <v>18</v>
      </c>
      <c r="H27" s="14">
        <v>1016</v>
      </c>
      <c r="I27" s="28" t="s">
        <v>11</v>
      </c>
      <c r="J27" s="22">
        <v>1249.99</v>
      </c>
      <c r="K27" s="14">
        <v>17</v>
      </c>
      <c r="L27" s="22">
        <v>21249.83</v>
      </c>
    </row>
    <row r="28" spans="3:12" outlineLevel="2" x14ac:dyDescent="0.25">
      <c r="C28" s="18">
        <v>43283</v>
      </c>
      <c r="D28" s="14">
        <v>7</v>
      </c>
      <c r="E28" s="14">
        <v>2018</v>
      </c>
      <c r="F28" s="14">
        <v>100103</v>
      </c>
      <c r="G28" s="27" t="s">
        <v>18</v>
      </c>
      <c r="H28" s="14">
        <v>1018</v>
      </c>
      <c r="I28" s="28" t="s">
        <v>13</v>
      </c>
      <c r="J28" s="22">
        <v>2200.9899999999998</v>
      </c>
      <c r="K28" s="14">
        <v>15</v>
      </c>
      <c r="L28" s="22">
        <v>33014.85</v>
      </c>
    </row>
    <row r="29" spans="3:12" outlineLevel="2" x14ac:dyDescent="0.25">
      <c r="C29" s="18">
        <v>43296</v>
      </c>
      <c r="D29" s="14">
        <v>7</v>
      </c>
      <c r="E29" s="14">
        <v>2018</v>
      </c>
      <c r="F29" s="14">
        <v>100103</v>
      </c>
      <c r="G29" s="27" t="s">
        <v>18</v>
      </c>
      <c r="H29" s="14">
        <v>1018</v>
      </c>
      <c r="I29" s="28" t="s">
        <v>13</v>
      </c>
      <c r="J29" s="22">
        <v>2200.9899999999998</v>
      </c>
      <c r="K29" s="14">
        <v>20</v>
      </c>
      <c r="L29" s="22">
        <v>44019.799999999996</v>
      </c>
    </row>
    <row r="30" spans="3:12" outlineLevel="1" x14ac:dyDescent="0.25">
      <c r="C30" s="18"/>
      <c r="D30" s="50" t="s">
        <v>69</v>
      </c>
      <c r="E30" s="14"/>
      <c r="F30" s="14"/>
      <c r="G30" s="27"/>
      <c r="H30" s="14"/>
      <c r="I30" s="28"/>
      <c r="J30" s="22"/>
      <c r="K30" s="14">
        <f>SUBTOTAL(9,K25:K29)</f>
        <v>77</v>
      </c>
      <c r="L30" s="22">
        <f>SUBTOTAL(9,L25:L29)</f>
        <v>107394.41</v>
      </c>
    </row>
    <row r="31" spans="3:12" outlineLevel="2" x14ac:dyDescent="0.25">
      <c r="C31" s="18">
        <v>43320</v>
      </c>
      <c r="D31" s="14">
        <v>8</v>
      </c>
      <c r="E31" s="14">
        <v>2018</v>
      </c>
      <c r="F31" s="14">
        <v>100103</v>
      </c>
      <c r="G31" s="27" t="s">
        <v>18</v>
      </c>
      <c r="H31" s="14">
        <v>1017</v>
      </c>
      <c r="I31" s="28" t="s">
        <v>12</v>
      </c>
      <c r="J31" s="22">
        <v>879.99</v>
      </c>
      <c r="K31" s="14">
        <v>8</v>
      </c>
      <c r="L31" s="22">
        <v>7039.92</v>
      </c>
    </row>
    <row r="32" spans="3:12" outlineLevel="2" x14ac:dyDescent="0.25">
      <c r="C32" s="18">
        <v>43324</v>
      </c>
      <c r="D32" s="14">
        <v>8</v>
      </c>
      <c r="E32" s="14">
        <v>2018</v>
      </c>
      <c r="F32" s="14">
        <v>100103</v>
      </c>
      <c r="G32" s="27" t="s">
        <v>18</v>
      </c>
      <c r="H32" s="14">
        <v>1018</v>
      </c>
      <c r="I32" s="28" t="s">
        <v>13</v>
      </c>
      <c r="J32" s="22">
        <v>2200.9899999999998</v>
      </c>
      <c r="K32" s="14">
        <v>9</v>
      </c>
      <c r="L32" s="22">
        <v>19808.909999999996</v>
      </c>
    </row>
    <row r="33" spans="3:12" outlineLevel="2" x14ac:dyDescent="0.25">
      <c r="C33" s="18">
        <v>43321</v>
      </c>
      <c r="D33" s="14">
        <v>8</v>
      </c>
      <c r="E33" s="14">
        <v>2018</v>
      </c>
      <c r="F33" s="14">
        <v>100103</v>
      </c>
      <c r="G33" s="27" t="s">
        <v>18</v>
      </c>
      <c r="H33" s="14">
        <v>1017</v>
      </c>
      <c r="I33" s="28" t="s">
        <v>12</v>
      </c>
      <c r="J33" s="22">
        <v>879.99</v>
      </c>
      <c r="K33" s="14">
        <v>11</v>
      </c>
      <c r="L33" s="22">
        <v>9679.89</v>
      </c>
    </row>
    <row r="34" spans="3:12" outlineLevel="2" x14ac:dyDescent="0.25">
      <c r="C34" s="18">
        <v>43318</v>
      </c>
      <c r="D34" s="14">
        <v>8</v>
      </c>
      <c r="E34" s="14">
        <v>2018</v>
      </c>
      <c r="F34" s="14">
        <v>100103</v>
      </c>
      <c r="G34" s="27" t="s">
        <v>18</v>
      </c>
      <c r="H34" s="14">
        <v>1017</v>
      </c>
      <c r="I34" s="28" t="s">
        <v>12</v>
      </c>
      <c r="J34" s="22">
        <v>879.99</v>
      </c>
      <c r="K34" s="14">
        <v>13</v>
      </c>
      <c r="L34" s="22">
        <v>11439.87</v>
      </c>
    </row>
    <row r="35" spans="3:12" outlineLevel="2" x14ac:dyDescent="0.25">
      <c r="C35" s="18">
        <v>43337</v>
      </c>
      <c r="D35" s="14">
        <v>8</v>
      </c>
      <c r="E35" s="14">
        <v>2018</v>
      </c>
      <c r="F35" s="14">
        <v>100103</v>
      </c>
      <c r="G35" s="27" t="s">
        <v>18</v>
      </c>
      <c r="H35" s="14">
        <v>1016</v>
      </c>
      <c r="I35" s="28" t="s">
        <v>11</v>
      </c>
      <c r="J35" s="22">
        <v>1249.99</v>
      </c>
      <c r="K35" s="14">
        <v>7</v>
      </c>
      <c r="L35" s="22">
        <v>8749.93</v>
      </c>
    </row>
    <row r="36" spans="3:12" outlineLevel="1" x14ac:dyDescent="0.25">
      <c r="C36" s="18"/>
      <c r="D36" s="50" t="s">
        <v>70</v>
      </c>
      <c r="E36" s="14"/>
      <c r="F36" s="14"/>
      <c r="G36" s="27"/>
      <c r="H36" s="14"/>
      <c r="I36" s="28"/>
      <c r="J36" s="22"/>
      <c r="K36" s="14">
        <f>SUBTOTAL(9,K31:K35)</f>
        <v>48</v>
      </c>
      <c r="L36" s="22">
        <f>SUBTOTAL(9,L31:L35)</f>
        <v>56718.52</v>
      </c>
    </row>
    <row r="37" spans="3:12" outlineLevel="2" x14ac:dyDescent="0.25">
      <c r="C37" s="18">
        <v>43470</v>
      </c>
      <c r="D37" s="14">
        <v>1</v>
      </c>
      <c r="E37" s="14">
        <v>2019</v>
      </c>
      <c r="F37" s="14">
        <v>100101</v>
      </c>
      <c r="G37" s="27" t="s">
        <v>16</v>
      </c>
      <c r="H37" s="14">
        <v>1012</v>
      </c>
      <c r="I37" s="28" t="s">
        <v>7</v>
      </c>
      <c r="J37" s="22">
        <v>1350</v>
      </c>
      <c r="K37" s="14">
        <v>16</v>
      </c>
      <c r="L37" s="22">
        <v>21600</v>
      </c>
    </row>
    <row r="38" spans="3:12" outlineLevel="2" x14ac:dyDescent="0.25">
      <c r="C38" s="18">
        <v>43473</v>
      </c>
      <c r="D38" s="14">
        <v>1</v>
      </c>
      <c r="E38" s="14">
        <v>2019</v>
      </c>
      <c r="F38" s="14">
        <v>100101</v>
      </c>
      <c r="G38" s="27" t="s">
        <v>16</v>
      </c>
      <c r="H38" s="14">
        <v>1013</v>
      </c>
      <c r="I38" s="28" t="s">
        <v>8</v>
      </c>
      <c r="J38" s="22">
        <v>750</v>
      </c>
      <c r="K38" s="14">
        <v>8</v>
      </c>
      <c r="L38" s="22">
        <v>6000</v>
      </c>
    </row>
    <row r="39" spans="3:12" outlineLevel="2" x14ac:dyDescent="0.25">
      <c r="C39" s="18">
        <v>43483</v>
      </c>
      <c r="D39" s="14">
        <v>1</v>
      </c>
      <c r="E39" s="14">
        <v>2019</v>
      </c>
      <c r="F39" s="14">
        <v>100103</v>
      </c>
      <c r="G39" s="27" t="s">
        <v>18</v>
      </c>
      <c r="H39" s="14">
        <v>1015</v>
      </c>
      <c r="I39" s="28" t="s">
        <v>10</v>
      </c>
      <c r="J39" s="22">
        <v>20</v>
      </c>
      <c r="K39" s="14">
        <v>8</v>
      </c>
      <c r="L39" s="22">
        <v>160</v>
      </c>
    </row>
    <row r="40" spans="3:12" outlineLevel="2" x14ac:dyDescent="0.25">
      <c r="C40" s="18">
        <v>43471</v>
      </c>
      <c r="D40" s="14">
        <v>1</v>
      </c>
      <c r="E40" s="14">
        <v>2019</v>
      </c>
      <c r="F40" s="14">
        <v>100103</v>
      </c>
      <c r="G40" s="27" t="s">
        <v>18</v>
      </c>
      <c r="H40" s="14">
        <v>1014</v>
      </c>
      <c r="I40" s="28" t="s">
        <v>9</v>
      </c>
      <c r="J40" s="22">
        <v>35</v>
      </c>
      <c r="K40" s="14">
        <v>28</v>
      </c>
      <c r="L40" s="22">
        <v>980</v>
      </c>
    </row>
    <row r="41" spans="3:12" outlineLevel="2" x14ac:dyDescent="0.25">
      <c r="C41" s="18">
        <v>43471</v>
      </c>
      <c r="D41" s="14">
        <v>1</v>
      </c>
      <c r="E41" s="14">
        <v>2019</v>
      </c>
      <c r="F41" s="14">
        <v>100102</v>
      </c>
      <c r="G41" s="27" t="s">
        <v>17</v>
      </c>
      <c r="H41" s="14">
        <v>1011</v>
      </c>
      <c r="I41" s="28" t="s">
        <v>6</v>
      </c>
      <c r="J41" s="22">
        <v>1669</v>
      </c>
      <c r="K41" s="14">
        <v>30</v>
      </c>
      <c r="L41" s="22">
        <v>50070</v>
      </c>
    </row>
    <row r="42" spans="3:12" outlineLevel="2" x14ac:dyDescent="0.25">
      <c r="C42" s="18">
        <v>43475</v>
      </c>
      <c r="D42" s="14">
        <v>1</v>
      </c>
      <c r="E42" s="14">
        <v>2019</v>
      </c>
      <c r="F42" s="14">
        <v>100102</v>
      </c>
      <c r="G42" s="27" t="s">
        <v>17</v>
      </c>
      <c r="H42" s="14">
        <v>1011</v>
      </c>
      <c r="I42" s="28" t="s">
        <v>6</v>
      </c>
      <c r="J42" s="22">
        <v>1669</v>
      </c>
      <c r="K42" s="14">
        <v>15</v>
      </c>
      <c r="L42" s="22">
        <v>25035</v>
      </c>
    </row>
    <row r="43" spans="3:12" outlineLevel="2" x14ac:dyDescent="0.25">
      <c r="C43" s="18">
        <v>43474</v>
      </c>
      <c r="D43" s="14">
        <v>1</v>
      </c>
      <c r="E43" s="14">
        <v>2019</v>
      </c>
      <c r="F43" s="14">
        <v>100102</v>
      </c>
      <c r="G43" s="27" t="s">
        <v>17</v>
      </c>
      <c r="H43" s="14">
        <v>1018</v>
      </c>
      <c r="I43" s="28" t="s">
        <v>13</v>
      </c>
      <c r="J43" s="22">
        <v>2200.9899999999998</v>
      </c>
      <c r="K43" s="14">
        <v>11</v>
      </c>
      <c r="L43" s="22">
        <v>24210.89</v>
      </c>
    </row>
    <row r="44" spans="3:12" outlineLevel="2" x14ac:dyDescent="0.25">
      <c r="C44" s="18">
        <v>43473</v>
      </c>
      <c r="D44" s="14">
        <v>1</v>
      </c>
      <c r="E44" s="14">
        <v>2019</v>
      </c>
      <c r="F44" s="14">
        <v>100102</v>
      </c>
      <c r="G44" s="27" t="s">
        <v>17</v>
      </c>
      <c r="H44" s="14">
        <v>1013</v>
      </c>
      <c r="I44" s="28" t="s">
        <v>8</v>
      </c>
      <c r="J44" s="22">
        <v>750</v>
      </c>
      <c r="K44" s="14">
        <v>17</v>
      </c>
      <c r="L44" s="22">
        <v>12750</v>
      </c>
    </row>
    <row r="45" spans="3:12" outlineLevel="2" x14ac:dyDescent="0.25">
      <c r="C45" s="18">
        <v>43477</v>
      </c>
      <c r="D45" s="14">
        <v>1</v>
      </c>
      <c r="E45" s="14">
        <v>2019</v>
      </c>
      <c r="F45" s="14">
        <v>100102</v>
      </c>
      <c r="G45" s="27" t="s">
        <v>17</v>
      </c>
      <c r="H45" s="14">
        <v>1016</v>
      </c>
      <c r="I45" s="28" t="s">
        <v>11</v>
      </c>
      <c r="J45" s="22">
        <v>1249.99</v>
      </c>
      <c r="K45" s="14">
        <v>18</v>
      </c>
      <c r="L45" s="22">
        <v>22499.82</v>
      </c>
    </row>
    <row r="46" spans="3:12" outlineLevel="2" x14ac:dyDescent="0.25">
      <c r="C46" s="18">
        <v>43487</v>
      </c>
      <c r="D46" s="14">
        <v>1</v>
      </c>
      <c r="E46" s="14">
        <v>2019</v>
      </c>
      <c r="F46" s="14">
        <v>100102</v>
      </c>
      <c r="G46" s="27" t="s">
        <v>17</v>
      </c>
      <c r="H46" s="14">
        <v>1014</v>
      </c>
      <c r="I46" s="28" t="s">
        <v>9</v>
      </c>
      <c r="J46" s="22">
        <v>35</v>
      </c>
      <c r="K46" s="14">
        <v>28</v>
      </c>
      <c r="L46" s="22">
        <v>980</v>
      </c>
    </row>
    <row r="47" spans="3:12" outlineLevel="1" x14ac:dyDescent="0.25">
      <c r="C47" s="51"/>
      <c r="D47" s="54" t="s">
        <v>63</v>
      </c>
      <c r="E47" s="39"/>
      <c r="F47" s="39"/>
      <c r="G47" s="57"/>
      <c r="H47" s="39"/>
      <c r="I47" s="58"/>
      <c r="J47" s="52"/>
      <c r="K47" s="39">
        <f>SUBTOTAL(9,K37:K46)</f>
        <v>179</v>
      </c>
      <c r="L47" s="52">
        <f>SUBTOTAL(9,L37:L46)</f>
        <v>164285.71000000002</v>
      </c>
    </row>
    <row r="48" spans="3:12" x14ac:dyDescent="0.25">
      <c r="C48" s="51"/>
      <c r="D48" s="54" t="s">
        <v>62</v>
      </c>
      <c r="E48" s="39"/>
      <c r="F48" s="39"/>
      <c r="G48" s="57"/>
      <c r="H48" s="39"/>
      <c r="I48" s="58"/>
      <c r="J48" s="52"/>
      <c r="K48" s="39">
        <f>SUBTOTAL(9,K5:K46)</f>
        <v>511</v>
      </c>
      <c r="L48" s="52">
        <f>SUBTOTAL(9,L5:L46)</f>
        <v>540343.6399999999</v>
      </c>
    </row>
  </sheetData>
  <sortState ref="C5:L46">
    <sortCondition ref="E5:E46"/>
    <sortCondition ref="D5:D46"/>
    <sortCondition ref="G5:G46"/>
  </sortState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1583C-3C3C-4675-9495-729AEC038358}">
  <sheetPr codeName="Planilha5"/>
  <dimension ref="B1:I10"/>
  <sheetViews>
    <sheetView zoomScale="130" zoomScaleNormal="130" workbookViewId="0">
      <selection activeCell="B3" sqref="B3:D10"/>
    </sheetView>
  </sheetViews>
  <sheetFormatPr defaultRowHeight="15" x14ac:dyDescent="0.25"/>
  <cols>
    <col min="2" max="2" width="9.85546875" customWidth="1"/>
    <col min="3" max="3" width="36.7109375" customWidth="1"/>
    <col min="4" max="4" width="18" customWidth="1"/>
  </cols>
  <sheetData>
    <row r="1" spans="2:9" ht="15.75" thickBot="1" x14ac:dyDescent="0.3"/>
    <row r="2" spans="2:9" x14ac:dyDescent="0.25">
      <c r="B2" s="3" t="s">
        <v>3</v>
      </c>
      <c r="C2" s="4" t="s">
        <v>4</v>
      </c>
      <c r="D2" s="5" t="s">
        <v>5</v>
      </c>
      <c r="I2" t="s">
        <v>0</v>
      </c>
    </row>
    <row r="3" spans="2:9" x14ac:dyDescent="0.25">
      <c r="B3" s="6">
        <v>1011</v>
      </c>
      <c r="C3" s="2" t="s">
        <v>6</v>
      </c>
      <c r="D3" s="7">
        <v>1669</v>
      </c>
      <c r="I3" t="s">
        <v>1</v>
      </c>
    </row>
    <row r="4" spans="2:9" x14ac:dyDescent="0.25">
      <c r="B4" s="8">
        <v>1012</v>
      </c>
      <c r="C4" s="2" t="s">
        <v>7</v>
      </c>
      <c r="D4" s="7">
        <v>1350</v>
      </c>
      <c r="I4" t="s">
        <v>2</v>
      </c>
    </row>
    <row r="5" spans="2:9" x14ac:dyDescent="0.25">
      <c r="B5" s="6">
        <v>1013</v>
      </c>
      <c r="C5" s="2" t="s">
        <v>8</v>
      </c>
      <c r="D5" s="7">
        <v>750</v>
      </c>
    </row>
    <row r="6" spans="2:9" x14ac:dyDescent="0.25">
      <c r="B6" s="8">
        <v>1014</v>
      </c>
      <c r="C6" s="2" t="s">
        <v>9</v>
      </c>
      <c r="D6" s="7">
        <v>35</v>
      </c>
    </row>
    <row r="7" spans="2:9" x14ac:dyDescent="0.25">
      <c r="B7" s="6">
        <v>1015</v>
      </c>
      <c r="C7" s="2" t="s">
        <v>10</v>
      </c>
      <c r="D7" s="7">
        <v>20</v>
      </c>
    </row>
    <row r="8" spans="2:9" x14ac:dyDescent="0.25">
      <c r="B8" s="8">
        <v>1016</v>
      </c>
      <c r="C8" s="2" t="s">
        <v>11</v>
      </c>
      <c r="D8" s="7">
        <v>1249.99</v>
      </c>
    </row>
    <row r="9" spans="2:9" x14ac:dyDescent="0.25">
      <c r="B9" s="6">
        <v>1017</v>
      </c>
      <c r="C9" s="2" t="s">
        <v>12</v>
      </c>
      <c r="D9" s="7">
        <v>879.99</v>
      </c>
    </row>
    <row r="10" spans="2:9" ht="15.75" thickBot="1" x14ac:dyDescent="0.3">
      <c r="B10" s="9">
        <v>1018</v>
      </c>
      <c r="C10" s="10" t="s">
        <v>13</v>
      </c>
      <c r="D10" s="11">
        <v>2200.9899999999998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EC538-8150-4C5F-BB73-18CB1C96F9BF}">
  <sheetPr codeName="Planilha12"/>
  <dimension ref="A1:E24"/>
  <sheetViews>
    <sheetView showGridLines="0" showRowColHeaders="0" zoomScaleNormal="100" workbookViewId="0">
      <selection activeCell="C6" sqref="C6"/>
    </sheetView>
  </sheetViews>
  <sheetFormatPr defaultRowHeight="15" x14ac:dyDescent="0.25"/>
  <cols>
    <col min="1" max="1" width="40.7109375" style="1" customWidth="1"/>
    <col min="2" max="2" width="9.140625" style="31"/>
    <col min="3" max="3" width="11.28515625" style="31" bestFit="1" customWidth="1"/>
    <col min="4" max="4" width="35.7109375" style="31" customWidth="1"/>
    <col min="5" max="5" width="20.7109375" style="31" customWidth="1"/>
    <col min="6" max="6" width="9.140625" style="31"/>
    <col min="7" max="7" width="13.85546875" style="31" customWidth="1"/>
    <col min="8" max="10" width="9.140625" style="31"/>
    <col min="11" max="11" width="12.42578125" style="31" bestFit="1" customWidth="1"/>
    <col min="12" max="16384" width="9.140625" style="31"/>
  </cols>
  <sheetData>
    <row r="1" spans="3:5" s="1" customFormat="1" ht="39.950000000000003" customHeight="1" x14ac:dyDescent="0.25"/>
    <row r="4" spans="3:5" ht="12" customHeight="1" x14ac:dyDescent="0.25"/>
    <row r="5" spans="3:5" ht="20.25" customHeight="1" x14ac:dyDescent="0.25">
      <c r="C5" s="35" t="s">
        <v>47</v>
      </c>
      <c r="D5" s="35" t="s">
        <v>4</v>
      </c>
      <c r="E5" s="35" t="s">
        <v>48</v>
      </c>
    </row>
    <row r="6" spans="3:5" ht="17.25" customHeight="1" x14ac:dyDescent="0.25">
      <c r="C6" s="33">
        <f>PRODUTOS_TABELA!B3</f>
        <v>1011</v>
      </c>
      <c r="D6" s="34" t="str">
        <f>PRODUTOS_TABELA!C3</f>
        <v xml:space="preserve">COMPUTADOR CORE I5 8GB </v>
      </c>
      <c r="E6" s="32">
        <f t="shared" ref="E6:E13" si="0">SUMIFS(LANÇAMENTOS_QUANTIDADE,LANÇAMENTOS_CÓDIGO,C6,LANÇAMENTOS_TIPO,"ENTRADA")-SUMIFS(LANÇAMENTOS_QUANTIDADE,LANÇAMENTOS_CÓDIGO,C6,LANÇAMENTOS_TIPO,"SAÍDA")</f>
        <v>64</v>
      </c>
    </row>
    <row r="7" spans="3:5" ht="17.25" customHeight="1" x14ac:dyDescent="0.25">
      <c r="C7" s="33">
        <f>PRODUTOS_TABELA!B4</f>
        <v>1012</v>
      </c>
      <c r="D7" s="34" t="str">
        <f>PRODUTOS_TABELA!C4</f>
        <v>COMPUTADOR CORE i3 8GB</v>
      </c>
      <c r="E7" s="32">
        <f t="shared" si="0"/>
        <v>24</v>
      </c>
    </row>
    <row r="8" spans="3:5" ht="17.25" customHeight="1" x14ac:dyDescent="0.25">
      <c r="C8" s="33">
        <f>PRODUTOS_TABELA!B5</f>
        <v>1013</v>
      </c>
      <c r="D8" s="34" t="str">
        <f>PRODUTOS_TABELA!C5</f>
        <v>MONITOR LG 19"</v>
      </c>
      <c r="E8" s="32">
        <f t="shared" si="0"/>
        <v>95</v>
      </c>
    </row>
    <row r="9" spans="3:5" ht="17.25" customHeight="1" x14ac:dyDescent="0.25">
      <c r="C9" s="33">
        <f>PRODUTOS_TABELA!B6</f>
        <v>1014</v>
      </c>
      <c r="D9" s="34" t="str">
        <f>PRODUTOS_TABELA!C6</f>
        <v>TECLADO GOLDENTEC ABNT2</v>
      </c>
      <c r="E9" s="32">
        <f t="shared" si="0"/>
        <v>15</v>
      </c>
    </row>
    <row r="10" spans="3:5" ht="17.25" customHeight="1" x14ac:dyDescent="0.25">
      <c r="C10" s="33">
        <f>PRODUTOS_TABELA!B7</f>
        <v>1015</v>
      </c>
      <c r="D10" s="34" t="str">
        <f>PRODUTOS_TABELA!C7</f>
        <v>MOUSE GOLDENTEC</v>
      </c>
      <c r="E10" s="32">
        <f t="shared" si="0"/>
        <v>84</v>
      </c>
    </row>
    <row r="11" spans="3:5" ht="17.25" customHeight="1" x14ac:dyDescent="0.25">
      <c r="C11" s="33">
        <f>PRODUTOS_TABELA!B8</f>
        <v>1016</v>
      </c>
      <c r="D11" s="34" t="str">
        <f>PRODUTOS_TABELA!C8</f>
        <v>NOTEBOOK POSITIVO DUAL CORE 4GB</v>
      </c>
      <c r="E11" s="32">
        <f t="shared" si="0"/>
        <v>200</v>
      </c>
    </row>
    <row r="12" spans="3:5" ht="17.25" customHeight="1" x14ac:dyDescent="0.25">
      <c r="C12" s="33">
        <f>PRODUTOS_TABELA!B9</f>
        <v>1017</v>
      </c>
      <c r="D12" s="34" t="str">
        <f>PRODUTOS_TABELA!C9</f>
        <v xml:space="preserve">TV LED 32" PHILCO </v>
      </c>
      <c r="E12" s="32">
        <f t="shared" si="0"/>
        <v>50</v>
      </c>
    </row>
    <row r="13" spans="3:5" ht="17.25" customHeight="1" x14ac:dyDescent="0.25">
      <c r="C13" s="33">
        <f>PRODUTOS_TABELA!B10</f>
        <v>1018</v>
      </c>
      <c r="D13" s="34" t="str">
        <f>PRODUTOS_TABELA!C10</f>
        <v>COMPUTADOR CORE i8 8GB</v>
      </c>
      <c r="E13" s="32">
        <f t="shared" si="0"/>
        <v>183</v>
      </c>
    </row>
    <row r="14" spans="3:5" ht="16.5" customHeight="1" x14ac:dyDescent="0.25"/>
    <row r="15" spans="3:5" ht="16.5" customHeight="1" x14ac:dyDescent="0.25"/>
    <row r="16" spans="3:5" ht="16.5" customHeight="1" x14ac:dyDescent="0.25"/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5" customHeight="1" x14ac:dyDescent="0.25"/>
    <row r="24" ht="15.75" customHeight="1" x14ac:dyDescent="0.25"/>
  </sheetData>
  <sheetProtection selectLockedCells="1"/>
  <conditionalFormatting sqref="E6:E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{E553CD88-AF95-431B-BE89-B2ECDEA87BF6}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53CD88-AF95-431B-BE89-B2ECDEA87B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E6:E13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0F67C-84A0-4748-B076-32DAA7AD9776}">
  <sheetPr codeName="Planilha3"/>
  <dimension ref="A1:H21"/>
  <sheetViews>
    <sheetView showGridLines="0" showRowColHeaders="0" tabSelected="1" zoomScaleNormal="100" workbookViewId="0">
      <selection activeCell="C7" sqref="C7:D8"/>
    </sheetView>
  </sheetViews>
  <sheetFormatPr defaultRowHeight="15" x14ac:dyDescent="0.25"/>
  <cols>
    <col min="1" max="1" width="40.7109375" style="1" customWidth="1"/>
    <col min="2" max="4" width="9.140625" style="20"/>
    <col min="5" max="5" width="13.5703125" style="20" customWidth="1"/>
    <col min="6" max="6" width="22.85546875" style="20" customWidth="1"/>
    <col min="7" max="7" width="13.140625" style="20" customWidth="1"/>
    <col min="8" max="8" width="19" style="20" customWidth="1"/>
    <col min="9" max="16384" width="9.140625" style="20"/>
  </cols>
  <sheetData>
    <row r="1" spans="3:7" s="1" customFormat="1" ht="39.950000000000003" customHeight="1" x14ac:dyDescent="0.25"/>
    <row r="6" spans="3:7" ht="15.75" thickBot="1" x14ac:dyDescent="0.3">
      <c r="C6" s="20" t="s">
        <v>14</v>
      </c>
    </row>
    <row r="7" spans="3:7" x14ac:dyDescent="0.25">
      <c r="C7" s="82">
        <v>100104</v>
      </c>
      <c r="D7" s="83"/>
    </row>
    <row r="8" spans="3:7" ht="15.75" thickBot="1" x14ac:dyDescent="0.3">
      <c r="C8" s="84"/>
      <c r="D8" s="85"/>
    </row>
    <row r="9" spans="3:7" ht="15.75" thickBot="1" x14ac:dyDescent="0.3">
      <c r="C9" s="20" t="s">
        <v>15</v>
      </c>
    </row>
    <row r="10" spans="3:7" x14ac:dyDescent="0.25">
      <c r="C10" s="86" t="str">
        <f>IFERROR(VLOOKUP(C7,VENDEDOR_TABELA,2,0),"")</f>
        <v>JOSÉ IÊDO</v>
      </c>
      <c r="D10" s="87"/>
      <c r="E10" s="87"/>
      <c r="F10" s="87"/>
      <c r="G10" s="88"/>
    </row>
    <row r="11" spans="3:7" ht="15.75" thickBot="1" x14ac:dyDescent="0.3">
      <c r="C11" s="89"/>
      <c r="D11" s="90"/>
      <c r="E11" s="90"/>
      <c r="F11" s="90"/>
      <c r="G11" s="91"/>
    </row>
    <row r="12" spans="3:7" ht="15.75" thickBot="1" x14ac:dyDescent="0.3">
      <c r="C12" s="20" t="s">
        <v>22</v>
      </c>
    </row>
    <row r="13" spans="3:7" x14ac:dyDescent="0.25">
      <c r="C13" s="92">
        <f>IFERROR(VLOOKUP(C7,VENDEDOR_TABELA,3,0),"")</f>
        <v>12500</v>
      </c>
      <c r="D13" s="93"/>
      <c r="E13" s="94"/>
    </row>
    <row r="14" spans="3:7" ht="15.75" thickBot="1" x14ac:dyDescent="0.3">
      <c r="C14" s="95"/>
      <c r="D14" s="96"/>
      <c r="E14" s="97"/>
    </row>
    <row r="15" spans="3:7" ht="15.75" thickBot="1" x14ac:dyDescent="0.3">
      <c r="C15" s="20" t="s">
        <v>20</v>
      </c>
    </row>
    <row r="16" spans="3:7" x14ac:dyDescent="0.25">
      <c r="C16" s="98">
        <f>IFERROR(VLOOKUP(C7,VENDEDOR_TABELA,4,0),"")</f>
        <v>35292</v>
      </c>
      <c r="D16" s="87"/>
      <c r="E16" s="88"/>
    </row>
    <row r="17" spans="3:8" ht="15.75" thickBot="1" x14ac:dyDescent="0.3">
      <c r="C17" s="89"/>
      <c r="D17" s="90"/>
      <c r="E17" s="91"/>
    </row>
    <row r="20" spans="3:8" hidden="1" x14ac:dyDescent="0.25">
      <c r="C20" s="30" t="s">
        <v>38</v>
      </c>
      <c r="D20" s="30" t="s">
        <v>39</v>
      </c>
      <c r="E20" s="30" t="s">
        <v>40</v>
      </c>
      <c r="F20" s="30" t="s">
        <v>41</v>
      </c>
      <c r="G20" s="30" t="s">
        <v>45</v>
      </c>
      <c r="H20" s="30" t="s">
        <v>46</v>
      </c>
    </row>
    <row r="21" spans="3:8" ht="28.5" hidden="1" customHeight="1" x14ac:dyDescent="0.25">
      <c r="C21" s="46"/>
      <c r="D21" s="46">
        <v>2018</v>
      </c>
      <c r="E21" s="46">
        <f>C7</f>
        <v>100104</v>
      </c>
      <c r="F21" s="46" t="str">
        <f>C10</f>
        <v>JOSÉ IÊDO</v>
      </c>
      <c r="G21" s="48">
        <f>DSUM(VENDAS_LANÇAMENTOS_TABELA,G20,C20:F21)</f>
        <v>0</v>
      </c>
      <c r="H21" s="49">
        <f>DSUM(VENDAS_LANÇAMENTOS_TABELA,"Total",C20:F21)</f>
        <v>0</v>
      </c>
    </row>
  </sheetData>
  <sheetProtection selectLockedCells="1"/>
  <mergeCells count="4">
    <mergeCell ref="C7:D8"/>
    <mergeCell ref="C10:G11"/>
    <mergeCell ref="C13:E14"/>
    <mergeCell ref="C16:E17"/>
  </mergeCells>
  <dataValidations count="1">
    <dataValidation type="list" allowBlank="1" showInputMessage="1" showErrorMessage="1" sqref="C7:D8" xr:uid="{467B79F0-617C-4E57-9D60-664E0D313780}">
      <formula1>VENDEDOR_MATRÍCULA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24C8D-6879-4549-804E-88E20DDC947D}">
  <sheetPr codeName="Planilha13"/>
  <dimension ref="A1:K19"/>
  <sheetViews>
    <sheetView showGridLines="0" showRowColHeaders="0" zoomScaleNormal="100" workbookViewId="0">
      <selection activeCell="D4" sqref="D4:D5"/>
    </sheetView>
  </sheetViews>
  <sheetFormatPr defaultRowHeight="15" x14ac:dyDescent="0.25"/>
  <cols>
    <col min="1" max="1" width="40.7109375" style="1" customWidth="1"/>
    <col min="2" max="3" width="9.140625" style="20"/>
    <col min="4" max="4" width="15.42578125" style="20" customWidth="1"/>
    <col min="5" max="5" width="16.85546875" style="20" customWidth="1"/>
    <col min="6" max="10" width="6.5703125" style="20" customWidth="1"/>
    <col min="11" max="16384" width="9.140625" style="20"/>
  </cols>
  <sheetData>
    <row r="1" spans="3:11" s="1" customFormat="1" ht="39.950000000000003" customHeight="1" x14ac:dyDescent="0.25"/>
    <row r="3" spans="3:11" ht="15.75" thickBot="1" x14ac:dyDescent="0.3"/>
    <row r="4" spans="3:11" ht="15" customHeight="1" x14ac:dyDescent="0.25">
      <c r="D4" s="82">
        <v>100101</v>
      </c>
      <c r="E4" s="86" t="str">
        <f>VLOOKUP(D4,VENDEDOR_TABELA,2,0)</f>
        <v>EUGÊNIO MÁRCIO</v>
      </c>
      <c r="F4" s="87"/>
      <c r="G4" s="87"/>
      <c r="H4" s="87"/>
      <c r="I4" s="88"/>
      <c r="J4" s="99">
        <v>2019</v>
      </c>
      <c r="K4" s="99"/>
    </row>
    <row r="5" spans="3:11" ht="15.75" customHeight="1" thickBot="1" x14ac:dyDescent="0.3">
      <c r="D5" s="84"/>
      <c r="E5" s="89"/>
      <c r="F5" s="90"/>
      <c r="G5" s="90"/>
      <c r="H5" s="90"/>
      <c r="I5" s="91"/>
      <c r="J5" s="99"/>
      <c r="K5" s="99"/>
    </row>
    <row r="7" spans="3:11" ht="15" customHeight="1" x14ac:dyDescent="0.25"/>
    <row r="8" spans="3:11" ht="15.75" customHeight="1" x14ac:dyDescent="0.25">
      <c r="C8" s="20">
        <v>1</v>
      </c>
      <c r="D8" s="32" t="s">
        <v>49</v>
      </c>
      <c r="E8" s="40">
        <f t="shared" ref="E8:E19" si="0">SUMIFS(VENDASLANÇAMENTOS_TOTAL,VENDASLANÇAMENTOS_ANO,$J$4,VENDASLANÇAMENTOS_MATRICULA,$D$4,VENDASLANÇAMENTOS_MÊS,C8)</f>
        <v>27600</v>
      </c>
    </row>
    <row r="9" spans="3:11" x14ac:dyDescent="0.25">
      <c r="C9" s="20">
        <v>2</v>
      </c>
      <c r="D9" s="32" t="s">
        <v>50</v>
      </c>
      <c r="E9" s="40">
        <f t="shared" si="0"/>
        <v>46550</v>
      </c>
    </row>
    <row r="10" spans="3:11" ht="15" customHeight="1" x14ac:dyDescent="0.25">
      <c r="C10" s="20">
        <v>3</v>
      </c>
      <c r="D10" s="32" t="s">
        <v>51</v>
      </c>
      <c r="E10" s="40">
        <f t="shared" si="0"/>
        <v>162798.15</v>
      </c>
    </row>
    <row r="11" spans="3:11" ht="15.75" customHeight="1" x14ac:dyDescent="0.25">
      <c r="C11" s="20">
        <v>4</v>
      </c>
      <c r="D11" s="32" t="s">
        <v>52</v>
      </c>
      <c r="E11" s="40">
        <f t="shared" si="0"/>
        <v>20250</v>
      </c>
    </row>
    <row r="12" spans="3:11" x14ac:dyDescent="0.25">
      <c r="C12" s="20">
        <v>5</v>
      </c>
      <c r="D12" s="32" t="s">
        <v>53</v>
      </c>
      <c r="E12" s="40">
        <f t="shared" si="0"/>
        <v>0</v>
      </c>
    </row>
    <row r="13" spans="3:11" ht="15" customHeight="1" x14ac:dyDescent="0.25">
      <c r="C13" s="20">
        <v>6</v>
      </c>
      <c r="D13" s="32" t="s">
        <v>54</v>
      </c>
      <c r="E13" s="40">
        <f t="shared" si="0"/>
        <v>0</v>
      </c>
    </row>
    <row r="14" spans="3:11" ht="15.75" customHeight="1" x14ac:dyDescent="0.25">
      <c r="C14" s="20">
        <v>7</v>
      </c>
      <c r="D14" s="32" t="s">
        <v>55</v>
      </c>
      <c r="E14" s="40">
        <f t="shared" si="0"/>
        <v>0</v>
      </c>
    </row>
    <row r="15" spans="3:11" x14ac:dyDescent="0.25">
      <c r="C15" s="20">
        <v>8</v>
      </c>
      <c r="D15" s="32" t="s">
        <v>56</v>
      </c>
      <c r="E15" s="40">
        <f t="shared" si="0"/>
        <v>0</v>
      </c>
    </row>
    <row r="16" spans="3:11" ht="15" customHeight="1" x14ac:dyDescent="0.25">
      <c r="C16" s="20">
        <v>9</v>
      </c>
      <c r="D16" s="32" t="s">
        <v>57</v>
      </c>
      <c r="E16" s="40">
        <f t="shared" si="0"/>
        <v>0</v>
      </c>
    </row>
    <row r="17" spans="3:5" ht="15.75" customHeight="1" x14ac:dyDescent="0.25">
      <c r="C17" s="20">
        <v>10</v>
      </c>
      <c r="D17" s="32" t="s">
        <v>58</v>
      </c>
      <c r="E17" s="40">
        <f t="shared" si="0"/>
        <v>0</v>
      </c>
    </row>
    <row r="18" spans="3:5" x14ac:dyDescent="0.25">
      <c r="C18" s="20">
        <v>11</v>
      </c>
      <c r="D18" s="32" t="s">
        <v>59</v>
      </c>
      <c r="E18" s="40">
        <f t="shared" si="0"/>
        <v>0</v>
      </c>
    </row>
    <row r="19" spans="3:5" x14ac:dyDescent="0.25">
      <c r="C19" s="20">
        <v>12</v>
      </c>
      <c r="D19" s="32" t="s">
        <v>60</v>
      </c>
      <c r="E19" s="40">
        <f t="shared" si="0"/>
        <v>0</v>
      </c>
    </row>
  </sheetData>
  <sheetProtection sheet="1" selectLockedCells="1"/>
  <mergeCells count="3">
    <mergeCell ref="E4:I5"/>
    <mergeCell ref="J4:K5"/>
    <mergeCell ref="D4:D5"/>
  </mergeCells>
  <dataValidations count="1">
    <dataValidation type="list" allowBlank="1" showInputMessage="1" showErrorMessage="1" sqref="D4" xr:uid="{6DDAFE99-E9F0-458B-8924-86F5C7D8706F}">
      <formula1>VENDEDOR_MATRÍCULA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53A44-8914-42E8-BC77-BFE59908A074}">
  <sheetPr codeName="Planilha8"/>
  <dimension ref="A1:K32"/>
  <sheetViews>
    <sheetView showGridLines="0" showRowColHeaders="0" zoomScaleNormal="100" workbookViewId="0">
      <selection activeCell="C4" sqref="C4:D5"/>
    </sheetView>
  </sheetViews>
  <sheetFormatPr defaultRowHeight="15" x14ac:dyDescent="0.25"/>
  <cols>
    <col min="1" max="1" width="40.7109375" style="1" customWidth="1"/>
    <col min="2" max="2" width="9.140625" style="12"/>
    <col min="3" max="3" width="11.28515625" style="12" bestFit="1" customWidth="1"/>
    <col min="4" max="6" width="9.140625" style="12"/>
    <col min="7" max="7" width="13.85546875" style="12" customWidth="1"/>
    <col min="8" max="10" width="9.140625" style="12"/>
    <col min="11" max="11" width="12.42578125" style="12" bestFit="1" customWidth="1"/>
    <col min="12" max="16384" width="9.140625" style="12"/>
  </cols>
  <sheetData>
    <row r="1" spans="2:8" s="1" customFormat="1" ht="39.950000000000003" customHeight="1" x14ac:dyDescent="0.25"/>
    <row r="3" spans="2:8" ht="15.75" thickBot="1" x14ac:dyDescent="0.3">
      <c r="C3" s="12" t="s">
        <v>26</v>
      </c>
    </row>
    <row r="4" spans="2:8" ht="12" customHeight="1" x14ac:dyDescent="0.25">
      <c r="B4" s="12" t="s">
        <v>87</v>
      </c>
      <c r="C4" s="104"/>
      <c r="D4" s="105"/>
    </row>
    <row r="5" spans="2:8" ht="12" customHeight="1" thickBot="1" x14ac:dyDescent="0.3">
      <c r="C5" s="106"/>
      <c r="D5" s="107"/>
    </row>
    <row r="6" spans="2:8" ht="15.75" thickBot="1" x14ac:dyDescent="0.3">
      <c r="C6" s="21" t="s">
        <v>23</v>
      </c>
    </row>
    <row r="7" spans="2:8" ht="12" customHeight="1" x14ac:dyDescent="0.25">
      <c r="C7" s="108" t="s">
        <v>24</v>
      </c>
      <c r="D7" s="109"/>
    </row>
    <row r="8" spans="2:8" ht="12" customHeight="1" thickBot="1" x14ac:dyDescent="0.3">
      <c r="C8" s="110"/>
      <c r="D8" s="111"/>
    </row>
    <row r="9" spans="2:8" ht="7.5" customHeight="1" x14ac:dyDescent="0.25"/>
    <row r="10" spans="2:8" ht="15" customHeight="1" thickBot="1" x14ac:dyDescent="0.3">
      <c r="C10" s="21" t="s">
        <v>3</v>
      </c>
    </row>
    <row r="11" spans="2:8" ht="12" customHeight="1" x14ac:dyDescent="0.25">
      <c r="C11" s="108"/>
      <c r="D11" s="109"/>
    </row>
    <row r="12" spans="2:8" ht="12" customHeight="1" thickBot="1" x14ac:dyDescent="0.3">
      <c r="C12" s="110"/>
      <c r="D12" s="111"/>
    </row>
    <row r="13" spans="2:8" ht="6" customHeight="1" x14ac:dyDescent="0.25"/>
    <row r="14" spans="2:8" ht="15.75" customHeight="1" thickBot="1" x14ac:dyDescent="0.3">
      <c r="C14" s="21" t="s">
        <v>15</v>
      </c>
    </row>
    <row r="15" spans="2:8" ht="12" customHeight="1" x14ac:dyDescent="0.25">
      <c r="C15" s="86" t="str">
        <f>IFERROR(VLOOKUP(C11,PRODUTOS_TABELA,2,0),"")</f>
        <v/>
      </c>
      <c r="D15" s="87"/>
      <c r="E15" s="87"/>
      <c r="F15" s="87"/>
      <c r="G15" s="87"/>
      <c r="H15" s="88"/>
    </row>
    <row r="16" spans="2:8" ht="12" customHeight="1" thickBot="1" x14ac:dyDescent="0.3">
      <c r="C16" s="89"/>
      <c r="D16" s="90"/>
      <c r="E16" s="90"/>
      <c r="F16" s="90"/>
      <c r="G16" s="90"/>
      <c r="H16" s="91"/>
    </row>
    <row r="17" spans="3:11" ht="6.75" customHeight="1" x14ac:dyDescent="0.25"/>
    <row r="18" spans="3:11" ht="15.75" thickBot="1" x14ac:dyDescent="0.3">
      <c r="C18" s="21" t="s">
        <v>5</v>
      </c>
    </row>
    <row r="19" spans="3:11" ht="12" customHeight="1" x14ac:dyDescent="0.25">
      <c r="C19" s="92" t="str">
        <f>IFERROR(VLOOKUP(C11,PRODUTOS_TABELA,3,0),"")</f>
        <v/>
      </c>
      <c r="D19" s="93"/>
      <c r="E19" s="94"/>
    </row>
    <row r="20" spans="3:11" ht="12" customHeight="1" thickBot="1" x14ac:dyDescent="0.3">
      <c r="C20" s="95"/>
      <c r="D20" s="96"/>
      <c r="E20" s="97"/>
    </row>
    <row r="21" spans="3:11" ht="10.5" customHeight="1" x14ac:dyDescent="0.25"/>
    <row r="22" spans="3:11" ht="15.75" thickBot="1" x14ac:dyDescent="0.3">
      <c r="C22" s="21" t="s">
        <v>25</v>
      </c>
    </row>
    <row r="23" spans="3:11" x14ac:dyDescent="0.25">
      <c r="C23" s="100"/>
      <c r="D23" s="101"/>
    </row>
    <row r="24" spans="3:11" ht="15.75" thickBot="1" x14ac:dyDescent="0.3">
      <c r="C24" s="102"/>
      <c r="D24" s="103"/>
    </row>
    <row r="30" spans="3:11" hidden="1" x14ac:dyDescent="0.25">
      <c r="C30" s="12" t="s">
        <v>26</v>
      </c>
      <c r="D30" s="12" t="s">
        <v>27</v>
      </c>
      <c r="E30" s="12" t="s">
        <v>28</v>
      </c>
      <c r="F30" s="12" t="s">
        <v>23</v>
      </c>
      <c r="G30" s="12" t="s">
        <v>3</v>
      </c>
      <c r="H30" s="12" t="s">
        <v>4</v>
      </c>
      <c r="I30" s="12" t="s">
        <v>5</v>
      </c>
      <c r="J30" s="12" t="s">
        <v>25</v>
      </c>
      <c r="K30" s="12" t="s">
        <v>29</v>
      </c>
    </row>
    <row r="31" spans="3:11" hidden="1" x14ac:dyDescent="0.25">
      <c r="C31" s="18">
        <f>C4</f>
        <v>0</v>
      </c>
      <c r="D31" s="14">
        <f>MONTH(C31)</f>
        <v>1</v>
      </c>
      <c r="E31" s="14">
        <f>YEAR(C31)</f>
        <v>1900</v>
      </c>
      <c r="F31" s="14" t="str">
        <f>C7</f>
        <v>ENTRADA</v>
      </c>
      <c r="G31" s="14">
        <f>C11</f>
        <v>0</v>
      </c>
      <c r="H31" s="15" t="str">
        <f>C15</f>
        <v/>
      </c>
      <c r="I31" s="22" t="str">
        <f>C19</f>
        <v/>
      </c>
      <c r="J31" s="14">
        <f>C23</f>
        <v>0</v>
      </c>
      <c r="K31" s="23" t="e">
        <f>I31*J31</f>
        <v>#VALUE!</v>
      </c>
    </row>
    <row r="32" spans="3:11" hidden="1" x14ac:dyDescent="0.25"/>
  </sheetData>
  <sheetProtection sheet="1" selectLockedCells="1"/>
  <mergeCells count="6">
    <mergeCell ref="C23:D24"/>
    <mergeCell ref="C4:D5"/>
    <mergeCell ref="C7:D8"/>
    <mergeCell ref="C11:D12"/>
    <mergeCell ref="C15:H16"/>
    <mergeCell ref="C19:E20"/>
  </mergeCells>
  <dataValidations count="2">
    <dataValidation type="list" allowBlank="1" showInputMessage="1" showErrorMessage="1" sqref="C11:D12" xr:uid="{B1B598D3-EEDD-44C8-96C5-0F7D3591F672}">
      <formula1>PRODUTOS_CÓDIGO</formula1>
    </dataValidation>
    <dataValidation type="list" allowBlank="1" showInputMessage="1" showErrorMessage="1" sqref="C7:D8" xr:uid="{FAD2BBA1-4D75-459F-AAFB-009D3022ABAE}">
      <formula1>"ENTRADA,SAÍDA"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C6546-9B05-4F94-8D40-6DE15201703E}">
  <sheetPr codeName="Planilha9"/>
  <dimension ref="C3:K86"/>
  <sheetViews>
    <sheetView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C5" sqref="C5"/>
    </sheetView>
  </sheetViews>
  <sheetFormatPr defaultRowHeight="15" x14ac:dyDescent="0.25"/>
  <cols>
    <col min="3" max="3" width="17" customWidth="1"/>
    <col min="4" max="4" width="10.7109375" customWidth="1"/>
    <col min="5" max="5" width="12.28515625" customWidth="1"/>
    <col min="6" max="6" width="13.7109375" customWidth="1"/>
    <col min="7" max="7" width="12.42578125" customWidth="1"/>
    <col min="8" max="8" width="37.140625" customWidth="1"/>
    <col min="9" max="9" width="16.7109375" customWidth="1"/>
    <col min="10" max="10" width="21" customWidth="1"/>
    <col min="11" max="11" width="21.7109375" customWidth="1"/>
  </cols>
  <sheetData>
    <row r="3" spans="3:11" x14ac:dyDescent="0.25">
      <c r="C3" s="24" t="s">
        <v>26</v>
      </c>
      <c r="D3" s="24" t="s">
        <v>27</v>
      </c>
      <c r="E3" s="24" t="s">
        <v>28</v>
      </c>
      <c r="F3" s="24" t="s">
        <v>23</v>
      </c>
      <c r="G3" s="24" t="s">
        <v>3</v>
      </c>
      <c r="H3" s="24" t="s">
        <v>4</v>
      </c>
      <c r="I3" s="47" t="s">
        <v>5</v>
      </c>
      <c r="J3" s="47" t="s">
        <v>25</v>
      </c>
      <c r="K3" s="47" t="s">
        <v>29</v>
      </c>
    </row>
    <row r="4" spans="3:11" x14ac:dyDescent="0.25">
      <c r="C4" s="18">
        <v>43320</v>
      </c>
      <c r="D4" s="14">
        <v>8</v>
      </c>
      <c r="E4" s="14">
        <v>2018</v>
      </c>
      <c r="F4" s="14" t="s">
        <v>35</v>
      </c>
      <c r="G4" s="14">
        <v>1017</v>
      </c>
      <c r="H4" s="15" t="s">
        <v>12</v>
      </c>
      <c r="I4" s="22">
        <v>879.99</v>
      </c>
      <c r="J4" s="14">
        <v>8</v>
      </c>
      <c r="K4" s="23">
        <v>7039.92</v>
      </c>
    </row>
    <row r="5" spans="3:11" x14ac:dyDescent="0.25">
      <c r="C5" s="18">
        <v>43742</v>
      </c>
      <c r="D5" s="14">
        <v>10</v>
      </c>
      <c r="E5" s="14">
        <v>2019</v>
      </c>
      <c r="F5" s="14" t="s">
        <v>24</v>
      </c>
      <c r="G5" s="14">
        <v>1016</v>
      </c>
      <c r="H5" s="15" t="s">
        <v>11</v>
      </c>
      <c r="I5" s="22">
        <v>1249.99</v>
      </c>
      <c r="J5" s="14">
        <v>14</v>
      </c>
      <c r="K5" s="23">
        <v>17499.86</v>
      </c>
    </row>
    <row r="6" spans="3:11" x14ac:dyDescent="0.25">
      <c r="C6" s="18">
        <v>43742</v>
      </c>
      <c r="D6" s="14">
        <v>10</v>
      </c>
      <c r="E6" s="14">
        <v>2019</v>
      </c>
      <c r="F6" s="14" t="s">
        <v>24</v>
      </c>
      <c r="G6" s="14">
        <v>1015</v>
      </c>
      <c r="H6" s="15" t="s">
        <v>10</v>
      </c>
      <c r="I6" s="22">
        <v>20</v>
      </c>
      <c r="J6" s="14">
        <v>100</v>
      </c>
      <c r="K6" s="23">
        <v>2000</v>
      </c>
    </row>
    <row r="7" spans="3:11" x14ac:dyDescent="0.25">
      <c r="C7" s="18">
        <v>43742</v>
      </c>
      <c r="D7" s="14">
        <v>10</v>
      </c>
      <c r="E7" s="14">
        <v>2019</v>
      </c>
      <c r="F7" s="14" t="s">
        <v>24</v>
      </c>
      <c r="G7" s="14">
        <v>1014</v>
      </c>
      <c r="H7" s="15" t="s">
        <v>9</v>
      </c>
      <c r="I7" s="22">
        <v>35</v>
      </c>
      <c r="J7" s="14">
        <v>100</v>
      </c>
      <c r="K7" s="23">
        <v>3500</v>
      </c>
    </row>
    <row r="8" spans="3:11" x14ac:dyDescent="0.25">
      <c r="C8" s="18">
        <v>43742</v>
      </c>
      <c r="D8" s="14">
        <v>10</v>
      </c>
      <c r="E8" s="14">
        <v>2019</v>
      </c>
      <c r="F8" s="14" t="s">
        <v>24</v>
      </c>
      <c r="G8" s="14">
        <v>1013</v>
      </c>
      <c r="H8" s="15" t="s">
        <v>8</v>
      </c>
      <c r="I8" s="22">
        <v>750</v>
      </c>
      <c r="J8" s="14">
        <v>250</v>
      </c>
      <c r="K8" s="23">
        <v>187500</v>
      </c>
    </row>
    <row r="9" spans="3:11" x14ac:dyDescent="0.25">
      <c r="C9" s="18">
        <v>43742</v>
      </c>
      <c r="D9" s="14">
        <v>10</v>
      </c>
      <c r="E9" s="14">
        <v>2019</v>
      </c>
      <c r="F9" s="14" t="s">
        <v>24</v>
      </c>
      <c r="G9" s="14">
        <v>1012</v>
      </c>
      <c r="H9" s="15" t="s">
        <v>7</v>
      </c>
      <c r="I9" s="22">
        <v>1350</v>
      </c>
      <c r="J9" s="14">
        <v>80</v>
      </c>
      <c r="K9" s="23">
        <v>108000</v>
      </c>
    </row>
    <row r="10" spans="3:11" x14ac:dyDescent="0.25">
      <c r="C10" s="18">
        <v>43742</v>
      </c>
      <c r="D10" s="14">
        <v>10</v>
      </c>
      <c r="E10" s="14">
        <v>2019</v>
      </c>
      <c r="F10" s="14" t="s">
        <v>24</v>
      </c>
      <c r="G10" s="14">
        <v>1011</v>
      </c>
      <c r="H10" s="15" t="s">
        <v>6</v>
      </c>
      <c r="I10" s="22">
        <v>1669</v>
      </c>
      <c r="J10" s="14">
        <v>50</v>
      </c>
      <c r="K10" s="23">
        <v>83450</v>
      </c>
    </row>
    <row r="11" spans="3:11" x14ac:dyDescent="0.25">
      <c r="C11" s="18">
        <v>43742</v>
      </c>
      <c r="D11" s="14">
        <v>10</v>
      </c>
      <c r="E11" s="14">
        <v>2019</v>
      </c>
      <c r="F11" s="14" t="s">
        <v>24</v>
      </c>
      <c r="G11" s="14">
        <v>1011</v>
      </c>
      <c r="H11" s="15" t="s">
        <v>6</v>
      </c>
      <c r="I11" s="22">
        <v>1669</v>
      </c>
      <c r="J11" s="14">
        <v>50</v>
      </c>
      <c r="K11" s="23">
        <v>83450</v>
      </c>
    </row>
    <row r="12" spans="3:11" x14ac:dyDescent="0.25">
      <c r="C12" s="18">
        <v>43742</v>
      </c>
      <c r="D12" s="14">
        <v>10</v>
      </c>
      <c r="E12" s="14">
        <v>2019</v>
      </c>
      <c r="F12" s="14" t="s">
        <v>35</v>
      </c>
      <c r="G12" s="14">
        <v>1015</v>
      </c>
      <c r="H12" s="15" t="s">
        <v>10</v>
      </c>
      <c r="I12" s="22">
        <v>20</v>
      </c>
      <c r="J12" s="14">
        <v>70</v>
      </c>
      <c r="K12" s="23">
        <v>1400</v>
      </c>
    </row>
    <row r="13" spans="3:11" x14ac:dyDescent="0.25">
      <c r="C13" s="18">
        <v>43742</v>
      </c>
      <c r="D13" s="14">
        <v>10</v>
      </c>
      <c r="E13" s="14">
        <v>2019</v>
      </c>
      <c r="F13" s="14" t="s">
        <v>35</v>
      </c>
      <c r="G13" s="14">
        <v>1014</v>
      </c>
      <c r="H13" s="15" t="s">
        <v>9</v>
      </c>
      <c r="I13" s="22">
        <v>35</v>
      </c>
      <c r="J13" s="14">
        <v>100</v>
      </c>
      <c r="K13" s="23">
        <v>3500</v>
      </c>
    </row>
    <row r="14" spans="3:11" x14ac:dyDescent="0.25">
      <c r="C14" s="18">
        <v>43742</v>
      </c>
      <c r="D14" s="14">
        <v>10</v>
      </c>
      <c r="E14" s="14">
        <v>2019</v>
      </c>
      <c r="F14" s="14" t="s">
        <v>35</v>
      </c>
      <c r="G14" s="14">
        <v>1012</v>
      </c>
      <c r="H14" s="15" t="s">
        <v>7</v>
      </c>
      <c r="I14" s="22">
        <v>1350</v>
      </c>
      <c r="J14" s="14">
        <v>100</v>
      </c>
      <c r="K14" s="23">
        <v>135000</v>
      </c>
    </row>
    <row r="15" spans="3:11" x14ac:dyDescent="0.25">
      <c r="C15" s="18">
        <v>43742</v>
      </c>
      <c r="D15" s="14">
        <v>10</v>
      </c>
      <c r="E15" s="14">
        <v>2019</v>
      </c>
      <c r="F15" s="14" t="s">
        <v>35</v>
      </c>
      <c r="G15" s="14">
        <v>1011</v>
      </c>
      <c r="H15" s="15" t="s">
        <v>6</v>
      </c>
      <c r="I15" s="22">
        <v>1669</v>
      </c>
      <c r="J15" s="14">
        <v>100</v>
      </c>
      <c r="K15" s="23">
        <v>166900</v>
      </c>
    </row>
    <row r="16" spans="3:11" x14ac:dyDescent="0.25">
      <c r="C16" s="18">
        <v>43742</v>
      </c>
      <c r="D16" s="14">
        <v>10</v>
      </c>
      <c r="E16" s="14">
        <v>2019</v>
      </c>
      <c r="F16" s="14" t="s">
        <v>35</v>
      </c>
      <c r="G16" s="14">
        <v>1013</v>
      </c>
      <c r="H16" s="15" t="s">
        <v>8</v>
      </c>
      <c r="I16" s="22">
        <v>750</v>
      </c>
      <c r="J16" s="14">
        <v>100</v>
      </c>
      <c r="K16" s="23">
        <v>75000</v>
      </c>
    </row>
    <row r="17" spans="3:11" x14ac:dyDescent="0.25">
      <c r="C17" s="18">
        <v>43742</v>
      </c>
      <c r="D17" s="14">
        <v>10</v>
      </c>
      <c r="E17" s="14">
        <v>2019</v>
      </c>
      <c r="F17" s="14" t="s">
        <v>35</v>
      </c>
      <c r="G17" s="14">
        <v>1013</v>
      </c>
      <c r="H17" s="15" t="s">
        <v>8</v>
      </c>
      <c r="I17" s="22">
        <v>750</v>
      </c>
      <c r="J17" s="14">
        <v>50</v>
      </c>
      <c r="K17" s="23">
        <v>37500</v>
      </c>
    </row>
    <row r="18" spans="3:11" x14ac:dyDescent="0.25">
      <c r="C18" s="18">
        <v>43565</v>
      </c>
      <c r="D18" s="14">
        <v>4</v>
      </c>
      <c r="E18" s="14">
        <v>2019</v>
      </c>
      <c r="F18" s="14" t="s">
        <v>35</v>
      </c>
      <c r="G18" s="14">
        <v>1013</v>
      </c>
      <c r="H18" s="15" t="s">
        <v>8</v>
      </c>
      <c r="I18" s="22">
        <v>750</v>
      </c>
      <c r="J18" s="14">
        <v>50</v>
      </c>
      <c r="K18" s="23">
        <v>37500</v>
      </c>
    </row>
    <row r="19" spans="3:11" x14ac:dyDescent="0.25">
      <c r="C19" s="18">
        <v>43508</v>
      </c>
      <c r="D19" s="14">
        <v>2</v>
      </c>
      <c r="E19" s="14">
        <v>2019</v>
      </c>
      <c r="F19" s="14" t="s">
        <v>35</v>
      </c>
      <c r="G19" s="14">
        <v>1015</v>
      </c>
      <c r="H19" s="15" t="s">
        <v>10</v>
      </c>
      <c r="I19" s="22">
        <v>20</v>
      </c>
      <c r="J19" s="14">
        <v>30</v>
      </c>
      <c r="K19" s="23">
        <v>600</v>
      </c>
    </row>
    <row r="20" spans="3:11" x14ac:dyDescent="0.25">
      <c r="C20" s="18">
        <v>43503</v>
      </c>
      <c r="D20" s="14">
        <v>2</v>
      </c>
      <c r="E20" s="14">
        <v>2019</v>
      </c>
      <c r="F20" s="14" t="s">
        <v>35</v>
      </c>
      <c r="G20" s="14">
        <v>1014</v>
      </c>
      <c r="H20" s="15" t="s">
        <v>9</v>
      </c>
      <c r="I20" s="22">
        <v>35</v>
      </c>
      <c r="J20" s="14">
        <v>3</v>
      </c>
      <c r="K20" s="23">
        <v>105</v>
      </c>
    </row>
    <row r="21" spans="3:11" x14ac:dyDescent="0.25">
      <c r="C21" s="18">
        <v>43507</v>
      </c>
      <c r="D21" s="14">
        <v>2</v>
      </c>
      <c r="E21" s="14">
        <v>2019</v>
      </c>
      <c r="F21" s="14" t="s">
        <v>35</v>
      </c>
      <c r="G21" s="14">
        <v>1013</v>
      </c>
      <c r="H21" s="15" t="s">
        <v>8</v>
      </c>
      <c r="I21" s="22">
        <v>750</v>
      </c>
      <c r="J21" s="14">
        <v>50</v>
      </c>
      <c r="K21" s="23">
        <v>37500</v>
      </c>
    </row>
    <row r="22" spans="3:11" x14ac:dyDescent="0.25">
      <c r="C22" s="18">
        <v>43571</v>
      </c>
      <c r="D22" s="14">
        <v>4</v>
      </c>
      <c r="E22" s="14">
        <v>2019</v>
      </c>
      <c r="F22" s="14" t="s">
        <v>35</v>
      </c>
      <c r="G22" s="14">
        <v>1012</v>
      </c>
      <c r="H22" s="15" t="s">
        <v>7</v>
      </c>
      <c r="I22" s="22">
        <v>1350</v>
      </c>
      <c r="J22" s="14">
        <v>15</v>
      </c>
      <c r="K22" s="23">
        <v>20250</v>
      </c>
    </row>
    <row r="23" spans="3:11" x14ac:dyDescent="0.25">
      <c r="C23" s="18">
        <v>43506</v>
      </c>
      <c r="D23" s="14">
        <v>2</v>
      </c>
      <c r="E23" s="14">
        <v>2019</v>
      </c>
      <c r="F23" s="14" t="s">
        <v>35</v>
      </c>
      <c r="G23" s="14">
        <v>1011</v>
      </c>
      <c r="H23" s="15" t="s">
        <v>6</v>
      </c>
      <c r="I23" s="22">
        <v>1669</v>
      </c>
      <c r="J23" s="14">
        <v>5</v>
      </c>
      <c r="K23" s="23">
        <v>8345</v>
      </c>
    </row>
    <row r="24" spans="3:11" x14ac:dyDescent="0.25">
      <c r="C24" s="18">
        <v>43565</v>
      </c>
      <c r="D24" s="14">
        <v>4</v>
      </c>
      <c r="E24" s="14">
        <v>2019</v>
      </c>
      <c r="F24" s="14" t="s">
        <v>35</v>
      </c>
      <c r="G24" s="14">
        <v>0</v>
      </c>
      <c r="H24" s="15" t="s">
        <v>88</v>
      </c>
      <c r="I24" s="22" t="s">
        <v>88</v>
      </c>
      <c r="J24" s="14">
        <v>0</v>
      </c>
      <c r="K24" s="23" t="e">
        <v>#VALUE!</v>
      </c>
    </row>
    <row r="25" spans="3:11" x14ac:dyDescent="0.25">
      <c r="C25" s="18">
        <v>43565</v>
      </c>
      <c r="D25" s="14">
        <v>4</v>
      </c>
      <c r="E25" s="14">
        <v>2019</v>
      </c>
      <c r="F25" s="14" t="s">
        <v>35</v>
      </c>
      <c r="G25" s="14">
        <v>1012</v>
      </c>
      <c r="H25" s="15" t="s">
        <v>7</v>
      </c>
      <c r="I25" s="22">
        <v>1350</v>
      </c>
      <c r="J25" s="14">
        <v>0</v>
      </c>
      <c r="K25" s="23">
        <v>0</v>
      </c>
    </row>
    <row r="26" spans="3:11" x14ac:dyDescent="0.25">
      <c r="C26" s="18">
        <v>43565</v>
      </c>
      <c r="D26" s="14">
        <v>4</v>
      </c>
      <c r="E26" s="14">
        <v>2019</v>
      </c>
      <c r="F26" s="14" t="s">
        <v>35</v>
      </c>
      <c r="G26" s="14">
        <v>1016</v>
      </c>
      <c r="H26" s="15" t="s">
        <v>11</v>
      </c>
      <c r="I26" s="22">
        <v>1249.99</v>
      </c>
      <c r="J26" s="14">
        <v>30</v>
      </c>
      <c r="K26" s="23">
        <v>37499.699999999997</v>
      </c>
    </row>
    <row r="27" spans="3:11" x14ac:dyDescent="0.25">
      <c r="C27" s="18">
        <v>43565</v>
      </c>
      <c r="D27" s="14">
        <v>4</v>
      </c>
      <c r="E27" s="14">
        <v>2019</v>
      </c>
      <c r="F27" s="14" t="s">
        <v>24</v>
      </c>
      <c r="G27" s="14">
        <v>1015</v>
      </c>
      <c r="H27" s="15" t="s">
        <v>10</v>
      </c>
      <c r="I27" s="22">
        <v>20</v>
      </c>
      <c r="J27" s="14">
        <v>30</v>
      </c>
      <c r="K27" s="23">
        <v>600</v>
      </c>
    </row>
    <row r="28" spans="3:11" x14ac:dyDescent="0.25">
      <c r="C28" s="18">
        <v>43565</v>
      </c>
      <c r="D28" s="14">
        <v>4</v>
      </c>
      <c r="E28" s="14">
        <v>2019</v>
      </c>
      <c r="F28" s="14" t="s">
        <v>35</v>
      </c>
      <c r="G28" s="14">
        <v>1014</v>
      </c>
      <c r="H28" s="15" t="s">
        <v>9</v>
      </c>
      <c r="I28" s="22">
        <v>35</v>
      </c>
      <c r="J28" s="14">
        <v>100</v>
      </c>
      <c r="K28" s="23">
        <v>3500</v>
      </c>
    </row>
    <row r="29" spans="3:11" x14ac:dyDescent="0.25">
      <c r="C29" s="18">
        <v>43565</v>
      </c>
      <c r="D29" s="14">
        <v>4</v>
      </c>
      <c r="E29" s="14">
        <v>2019</v>
      </c>
      <c r="F29" s="14" t="s">
        <v>35</v>
      </c>
      <c r="G29" s="14">
        <v>1013</v>
      </c>
      <c r="H29" s="15" t="s">
        <v>8</v>
      </c>
      <c r="I29" s="22">
        <v>750</v>
      </c>
      <c r="J29" s="14">
        <v>100</v>
      </c>
      <c r="K29" s="23">
        <v>75000</v>
      </c>
    </row>
    <row r="30" spans="3:11" x14ac:dyDescent="0.25">
      <c r="C30" s="18">
        <v>43565</v>
      </c>
      <c r="D30" s="14">
        <v>4</v>
      </c>
      <c r="E30" s="14">
        <v>2019</v>
      </c>
      <c r="F30" s="14" t="s">
        <v>35</v>
      </c>
      <c r="G30" s="14">
        <v>1013</v>
      </c>
      <c r="H30" s="15" t="s">
        <v>8</v>
      </c>
      <c r="I30" s="22">
        <v>750</v>
      </c>
      <c r="J30" s="14">
        <v>100</v>
      </c>
      <c r="K30" s="23">
        <v>75000</v>
      </c>
    </row>
    <row r="31" spans="3:11" x14ac:dyDescent="0.25">
      <c r="C31" s="18">
        <v>43565</v>
      </c>
      <c r="D31" s="14">
        <v>4</v>
      </c>
      <c r="E31" s="14">
        <v>2019</v>
      </c>
      <c r="F31" s="14" t="s">
        <v>24</v>
      </c>
      <c r="G31" s="14">
        <v>1017</v>
      </c>
      <c r="H31" s="15" t="s">
        <v>12</v>
      </c>
      <c r="I31" s="22">
        <v>879.99</v>
      </c>
      <c r="J31" s="14">
        <v>50</v>
      </c>
      <c r="K31" s="23">
        <v>43999.5</v>
      </c>
    </row>
    <row r="32" spans="3:11" x14ac:dyDescent="0.25">
      <c r="C32" s="18">
        <v>43554</v>
      </c>
      <c r="D32" s="14">
        <v>3</v>
      </c>
      <c r="E32" s="14">
        <v>2019</v>
      </c>
      <c r="F32" s="14" t="s">
        <v>35</v>
      </c>
      <c r="G32" s="14">
        <v>1017</v>
      </c>
      <c r="H32" s="15" t="s">
        <v>12</v>
      </c>
      <c r="I32" s="22">
        <v>879.99</v>
      </c>
      <c r="J32" s="14">
        <v>0</v>
      </c>
      <c r="K32" s="23">
        <v>0</v>
      </c>
    </row>
    <row r="33" spans="3:11" x14ac:dyDescent="0.25">
      <c r="C33" s="18">
        <v>43554</v>
      </c>
      <c r="D33" s="14">
        <v>3</v>
      </c>
      <c r="E33" s="14">
        <v>2019</v>
      </c>
      <c r="F33" s="14" t="s">
        <v>35</v>
      </c>
      <c r="G33" s="14">
        <v>1017</v>
      </c>
      <c r="H33" s="15" t="s">
        <v>12</v>
      </c>
      <c r="I33" s="22">
        <v>879.99</v>
      </c>
      <c r="J33" s="14">
        <v>185</v>
      </c>
      <c r="K33" s="23">
        <v>162798.15</v>
      </c>
    </row>
    <row r="34" spans="3:11" x14ac:dyDescent="0.25">
      <c r="C34" s="18">
        <v>43554</v>
      </c>
      <c r="D34" s="14">
        <v>3</v>
      </c>
      <c r="E34" s="14">
        <v>2019</v>
      </c>
      <c r="F34" s="14" t="s">
        <v>24</v>
      </c>
      <c r="G34" s="14">
        <v>1017</v>
      </c>
      <c r="H34" s="15" t="s">
        <v>12</v>
      </c>
      <c r="I34" s="22">
        <v>879.99</v>
      </c>
      <c r="J34" s="14">
        <v>150</v>
      </c>
      <c r="K34" s="23">
        <v>131998.5</v>
      </c>
    </row>
    <row r="35" spans="3:11" x14ac:dyDescent="0.25">
      <c r="C35" s="18">
        <v>43554</v>
      </c>
      <c r="D35" s="14">
        <v>3</v>
      </c>
      <c r="E35" s="14">
        <v>2019</v>
      </c>
      <c r="F35" s="14" t="s">
        <v>24</v>
      </c>
      <c r="G35" s="14">
        <v>1017</v>
      </c>
      <c r="H35" s="15" t="s">
        <v>12</v>
      </c>
      <c r="I35" s="22">
        <v>879.99</v>
      </c>
      <c r="J35" s="14">
        <v>20</v>
      </c>
      <c r="K35" s="23">
        <v>17599.8</v>
      </c>
    </row>
    <row r="36" spans="3:11" x14ac:dyDescent="0.25">
      <c r="C36" s="18">
        <v>43544</v>
      </c>
      <c r="D36" s="14">
        <v>3</v>
      </c>
      <c r="E36" s="14">
        <v>2019</v>
      </c>
      <c r="F36" s="14" t="s">
        <v>24</v>
      </c>
      <c r="G36" s="14">
        <v>1011</v>
      </c>
      <c r="H36" s="15" t="s">
        <v>6</v>
      </c>
      <c r="I36" s="22">
        <v>1669</v>
      </c>
      <c r="J36" s="14">
        <v>50</v>
      </c>
      <c r="K36" s="23">
        <v>83450</v>
      </c>
    </row>
    <row r="37" spans="3:11" x14ac:dyDescent="0.25">
      <c r="C37" s="18">
        <v>43544</v>
      </c>
      <c r="D37" s="14">
        <v>3</v>
      </c>
      <c r="E37" s="14">
        <v>2019</v>
      </c>
      <c r="F37" s="14" t="s">
        <v>24</v>
      </c>
      <c r="G37" s="14">
        <v>1013</v>
      </c>
      <c r="H37" s="15" t="s">
        <v>8</v>
      </c>
      <c r="I37" s="22">
        <v>750</v>
      </c>
      <c r="J37" s="14">
        <v>20</v>
      </c>
      <c r="K37" s="23">
        <v>15000</v>
      </c>
    </row>
    <row r="38" spans="3:11" x14ac:dyDescent="0.25">
      <c r="C38" s="18">
        <v>43516</v>
      </c>
      <c r="D38" s="14">
        <v>2</v>
      </c>
      <c r="E38" s="14">
        <v>2019</v>
      </c>
      <c r="F38" s="14" t="s">
        <v>24</v>
      </c>
      <c r="G38" s="14">
        <v>1014</v>
      </c>
      <c r="H38" s="15" t="s">
        <v>9</v>
      </c>
      <c r="I38" s="22">
        <v>35</v>
      </c>
      <c r="J38" s="14">
        <v>100</v>
      </c>
      <c r="K38" s="23">
        <v>3500</v>
      </c>
    </row>
    <row r="39" spans="3:11" x14ac:dyDescent="0.25">
      <c r="C39" s="18">
        <v>43486</v>
      </c>
      <c r="D39" s="14">
        <v>1</v>
      </c>
      <c r="E39" s="14">
        <v>2019</v>
      </c>
      <c r="F39" s="14" t="s">
        <v>24</v>
      </c>
      <c r="G39" s="14">
        <v>1016</v>
      </c>
      <c r="H39" s="15" t="s">
        <v>11</v>
      </c>
      <c r="I39" s="22">
        <v>1249.99</v>
      </c>
      <c r="J39" s="14">
        <v>200</v>
      </c>
      <c r="K39" s="23">
        <v>249998</v>
      </c>
    </row>
    <row r="40" spans="3:11" x14ac:dyDescent="0.25">
      <c r="C40" s="18">
        <v>43486</v>
      </c>
      <c r="D40" s="14">
        <v>1</v>
      </c>
      <c r="E40" s="14">
        <v>2019</v>
      </c>
      <c r="F40" s="14" t="s">
        <v>24</v>
      </c>
      <c r="G40" s="14">
        <v>1013</v>
      </c>
      <c r="H40" s="15" t="s">
        <v>8</v>
      </c>
      <c r="I40" s="22">
        <v>750</v>
      </c>
      <c r="J40" s="14">
        <v>200</v>
      </c>
      <c r="K40" s="23">
        <v>150000</v>
      </c>
    </row>
    <row r="41" spans="3:11" x14ac:dyDescent="0.25">
      <c r="C41" s="18">
        <v>43483</v>
      </c>
      <c r="D41" s="14">
        <v>1</v>
      </c>
      <c r="E41" s="14">
        <v>2019</v>
      </c>
      <c r="F41" s="14" t="s">
        <v>24</v>
      </c>
      <c r="G41" s="14">
        <v>1018</v>
      </c>
      <c r="H41" s="15" t="s">
        <v>13</v>
      </c>
      <c r="I41" s="22">
        <v>2200.9899999999998</v>
      </c>
      <c r="J41" s="14">
        <v>150</v>
      </c>
      <c r="K41" s="23">
        <v>330148.49999999994</v>
      </c>
    </row>
    <row r="42" spans="3:11" x14ac:dyDescent="0.25">
      <c r="C42" s="18">
        <v>43324</v>
      </c>
      <c r="D42" s="14">
        <v>8</v>
      </c>
      <c r="E42" s="14">
        <v>2018</v>
      </c>
      <c r="F42" s="14" t="s">
        <v>35</v>
      </c>
      <c r="G42" s="14">
        <v>1018</v>
      </c>
      <c r="H42" s="15" t="s">
        <v>13</v>
      </c>
      <c r="I42" s="22">
        <v>2200.9899999999998</v>
      </c>
      <c r="J42" s="14">
        <v>9</v>
      </c>
      <c r="K42" s="23">
        <v>19808.909999999996</v>
      </c>
    </row>
    <row r="43" spans="3:11" x14ac:dyDescent="0.25">
      <c r="C43" s="18">
        <v>43321</v>
      </c>
      <c r="D43" s="14">
        <v>8</v>
      </c>
      <c r="E43" s="14">
        <v>2018</v>
      </c>
      <c r="F43" s="14" t="s">
        <v>35</v>
      </c>
      <c r="G43" s="14">
        <v>1017</v>
      </c>
      <c r="H43" s="15" t="s">
        <v>12</v>
      </c>
      <c r="I43" s="22">
        <v>879.99</v>
      </c>
      <c r="J43" s="14">
        <v>11</v>
      </c>
      <c r="K43" s="23">
        <v>9679.89</v>
      </c>
    </row>
    <row r="44" spans="3:11" x14ac:dyDescent="0.25">
      <c r="C44" s="18">
        <v>43318</v>
      </c>
      <c r="D44" s="14">
        <v>8</v>
      </c>
      <c r="E44" s="14">
        <v>2018</v>
      </c>
      <c r="F44" s="14" t="s">
        <v>35</v>
      </c>
      <c r="G44" s="14">
        <v>1017</v>
      </c>
      <c r="H44" s="15" t="s">
        <v>12</v>
      </c>
      <c r="I44" s="22">
        <v>879.99</v>
      </c>
      <c r="J44" s="14">
        <v>13</v>
      </c>
      <c r="K44" s="23">
        <v>11439.87</v>
      </c>
    </row>
    <row r="45" spans="3:11" x14ac:dyDescent="0.25">
      <c r="C45" s="18">
        <v>43337</v>
      </c>
      <c r="D45" s="14">
        <v>8</v>
      </c>
      <c r="E45" s="14">
        <v>2018</v>
      </c>
      <c r="F45" s="14" t="s">
        <v>35</v>
      </c>
      <c r="G45" s="14">
        <v>1016</v>
      </c>
      <c r="H45" s="15" t="s">
        <v>11</v>
      </c>
      <c r="I45" s="22">
        <v>1249.99</v>
      </c>
      <c r="J45" s="14">
        <v>7</v>
      </c>
      <c r="K45" s="23">
        <v>8749.93</v>
      </c>
    </row>
    <row r="46" spans="3:11" x14ac:dyDescent="0.25">
      <c r="C46" s="18">
        <v>43302</v>
      </c>
      <c r="D46" s="14">
        <v>7</v>
      </c>
      <c r="E46" s="14">
        <v>2018</v>
      </c>
      <c r="F46" s="14" t="s">
        <v>35</v>
      </c>
      <c r="G46" s="14">
        <v>1015</v>
      </c>
      <c r="H46" s="15" t="s">
        <v>10</v>
      </c>
      <c r="I46" s="22">
        <v>20</v>
      </c>
      <c r="J46" s="14">
        <v>18</v>
      </c>
      <c r="K46" s="23">
        <v>360</v>
      </c>
    </row>
    <row r="47" spans="3:11" x14ac:dyDescent="0.25">
      <c r="C47" s="18">
        <v>43293</v>
      </c>
      <c r="D47" s="14">
        <v>7</v>
      </c>
      <c r="E47" s="14">
        <v>2018</v>
      </c>
      <c r="F47" s="14" t="s">
        <v>35</v>
      </c>
      <c r="G47" s="14">
        <v>1016</v>
      </c>
      <c r="H47" s="15" t="s">
        <v>11</v>
      </c>
      <c r="I47" s="22">
        <v>1249.99</v>
      </c>
      <c r="J47" s="14">
        <v>7</v>
      </c>
      <c r="K47" s="23">
        <v>8749.93</v>
      </c>
    </row>
    <row r="48" spans="3:11" x14ac:dyDescent="0.25">
      <c r="C48" s="18">
        <v>43286</v>
      </c>
      <c r="D48" s="14">
        <v>7</v>
      </c>
      <c r="E48" s="14">
        <v>2018</v>
      </c>
      <c r="F48" s="14" t="s">
        <v>35</v>
      </c>
      <c r="G48" s="14">
        <v>1016</v>
      </c>
      <c r="H48" s="15" t="s">
        <v>11</v>
      </c>
      <c r="I48" s="22">
        <v>1249.99</v>
      </c>
      <c r="J48" s="14">
        <v>17</v>
      </c>
      <c r="K48" s="23">
        <v>21249.83</v>
      </c>
    </row>
    <row r="49" spans="3:11" x14ac:dyDescent="0.25">
      <c r="C49" s="18">
        <v>43283</v>
      </c>
      <c r="D49" s="14">
        <v>7</v>
      </c>
      <c r="E49" s="14">
        <v>2018</v>
      </c>
      <c r="F49" s="14" t="s">
        <v>35</v>
      </c>
      <c r="G49" s="14">
        <v>1018</v>
      </c>
      <c r="H49" s="15" t="s">
        <v>13</v>
      </c>
      <c r="I49" s="22">
        <v>2200.9899999999998</v>
      </c>
      <c r="J49" s="14">
        <v>15</v>
      </c>
      <c r="K49" s="23">
        <v>33014.85</v>
      </c>
    </row>
    <row r="50" spans="3:11" x14ac:dyDescent="0.25">
      <c r="C50" s="18">
        <v>43266</v>
      </c>
      <c r="D50" s="14">
        <v>6</v>
      </c>
      <c r="E50" s="14">
        <v>2018</v>
      </c>
      <c r="F50" s="14" t="s">
        <v>35</v>
      </c>
      <c r="G50" s="14">
        <v>1017</v>
      </c>
      <c r="H50" s="15" t="s">
        <v>12</v>
      </c>
      <c r="I50" s="22">
        <v>879.99</v>
      </c>
      <c r="J50" s="14">
        <v>25</v>
      </c>
      <c r="K50" s="23">
        <v>21999.75</v>
      </c>
    </row>
    <row r="51" spans="3:11" x14ac:dyDescent="0.25">
      <c r="C51" s="18">
        <v>43263</v>
      </c>
      <c r="D51" s="14">
        <v>6</v>
      </c>
      <c r="E51" s="14">
        <v>2018</v>
      </c>
      <c r="F51" s="14" t="s">
        <v>35</v>
      </c>
      <c r="G51" s="14">
        <v>1012</v>
      </c>
      <c r="H51" s="15" t="s">
        <v>7</v>
      </c>
      <c r="I51" s="22">
        <v>1350</v>
      </c>
      <c r="J51" s="14">
        <v>25</v>
      </c>
      <c r="K51" s="23">
        <v>33750</v>
      </c>
    </row>
    <row r="52" spans="3:11" x14ac:dyDescent="0.25">
      <c r="C52" s="18">
        <v>43257</v>
      </c>
      <c r="D52" s="14">
        <v>6</v>
      </c>
      <c r="E52" s="14">
        <v>2018</v>
      </c>
      <c r="F52" s="14" t="s">
        <v>35</v>
      </c>
      <c r="G52" s="14">
        <v>1015</v>
      </c>
      <c r="H52" s="15" t="s">
        <v>10</v>
      </c>
      <c r="I52" s="22">
        <v>20</v>
      </c>
      <c r="J52" s="14">
        <v>20</v>
      </c>
      <c r="K52" s="23">
        <v>400</v>
      </c>
    </row>
    <row r="53" spans="3:11" x14ac:dyDescent="0.25">
      <c r="C53" s="18">
        <v>43296</v>
      </c>
      <c r="D53" s="14">
        <v>7</v>
      </c>
      <c r="E53" s="14">
        <v>2018</v>
      </c>
      <c r="F53" s="14" t="s">
        <v>35</v>
      </c>
      <c r="G53" s="14">
        <v>1018</v>
      </c>
      <c r="H53" s="15" t="s">
        <v>13</v>
      </c>
      <c r="I53" s="22">
        <v>2200.9899999999998</v>
      </c>
      <c r="J53" s="14">
        <v>20</v>
      </c>
      <c r="K53" s="23">
        <v>44019.799999999996</v>
      </c>
    </row>
    <row r="54" spans="3:11" x14ac:dyDescent="0.25">
      <c r="C54" s="18">
        <v>43263</v>
      </c>
      <c r="D54" s="14">
        <v>6</v>
      </c>
      <c r="E54" s="14">
        <v>2018</v>
      </c>
      <c r="F54" s="14" t="s">
        <v>35</v>
      </c>
      <c r="G54" s="14">
        <v>1016</v>
      </c>
      <c r="H54" s="15" t="s">
        <v>11</v>
      </c>
      <c r="I54" s="22">
        <v>1249.99</v>
      </c>
      <c r="J54" s="14">
        <v>15</v>
      </c>
      <c r="K54" s="23">
        <v>18749.849999999999</v>
      </c>
    </row>
    <row r="55" spans="3:11" x14ac:dyDescent="0.25">
      <c r="C55" s="18">
        <v>43257</v>
      </c>
      <c r="D55" s="14">
        <v>6</v>
      </c>
      <c r="E55" s="14">
        <v>2018</v>
      </c>
      <c r="F55" s="14" t="s">
        <v>35</v>
      </c>
      <c r="G55" s="14">
        <v>1016</v>
      </c>
      <c r="H55" s="15" t="s">
        <v>11</v>
      </c>
      <c r="I55" s="22">
        <v>1249.99</v>
      </c>
      <c r="J55" s="14">
        <v>20</v>
      </c>
      <c r="K55" s="23">
        <v>24999.8</v>
      </c>
    </row>
    <row r="56" spans="3:11" x14ac:dyDescent="0.25">
      <c r="C56" s="18">
        <v>43226</v>
      </c>
      <c r="D56" s="14">
        <v>5</v>
      </c>
      <c r="E56" s="14">
        <v>2018</v>
      </c>
      <c r="F56" s="14" t="s">
        <v>35</v>
      </c>
      <c r="G56" s="14">
        <v>1014</v>
      </c>
      <c r="H56" s="15" t="s">
        <v>9</v>
      </c>
      <c r="I56" s="22">
        <v>35</v>
      </c>
      <c r="J56" s="14">
        <v>8</v>
      </c>
      <c r="K56" s="23">
        <v>280</v>
      </c>
    </row>
    <row r="57" spans="3:11" x14ac:dyDescent="0.25">
      <c r="C57" s="18">
        <v>43236</v>
      </c>
      <c r="D57" s="14">
        <v>5</v>
      </c>
      <c r="E57" s="14">
        <v>2018</v>
      </c>
      <c r="F57" s="14" t="s">
        <v>35</v>
      </c>
      <c r="G57" s="14">
        <v>1017</v>
      </c>
      <c r="H57" s="15" t="s">
        <v>12</v>
      </c>
      <c r="I57" s="22">
        <v>879.99</v>
      </c>
      <c r="J57" s="14">
        <v>20</v>
      </c>
      <c r="K57" s="23">
        <v>17599.8</v>
      </c>
    </row>
    <row r="58" spans="3:11" x14ac:dyDescent="0.25">
      <c r="C58" s="18">
        <v>43195</v>
      </c>
      <c r="D58" s="14">
        <v>4</v>
      </c>
      <c r="E58" s="14">
        <v>2018</v>
      </c>
      <c r="F58" s="14" t="s">
        <v>35</v>
      </c>
      <c r="G58" s="14">
        <v>1018</v>
      </c>
      <c r="H58" s="15" t="s">
        <v>13</v>
      </c>
      <c r="I58" s="22">
        <v>2200.9899999999998</v>
      </c>
      <c r="J58" s="14">
        <v>12</v>
      </c>
      <c r="K58" s="23">
        <v>26411.879999999997</v>
      </c>
    </row>
    <row r="59" spans="3:11" x14ac:dyDescent="0.25">
      <c r="C59" s="18">
        <v>43165</v>
      </c>
      <c r="D59" s="14">
        <v>3</v>
      </c>
      <c r="E59" s="14">
        <v>2018</v>
      </c>
      <c r="F59" s="14" t="s">
        <v>35</v>
      </c>
      <c r="G59" s="14">
        <v>1017</v>
      </c>
      <c r="H59" s="15" t="s">
        <v>12</v>
      </c>
      <c r="I59" s="22">
        <v>879.99</v>
      </c>
      <c r="J59" s="14">
        <v>8</v>
      </c>
      <c r="K59" s="23">
        <v>7039.92</v>
      </c>
    </row>
    <row r="60" spans="3:11" x14ac:dyDescent="0.25">
      <c r="C60" s="18">
        <v>43136</v>
      </c>
      <c r="D60" s="14">
        <v>2</v>
      </c>
      <c r="E60" s="14">
        <v>2018</v>
      </c>
      <c r="F60" s="14" t="s">
        <v>35</v>
      </c>
      <c r="G60" s="14">
        <v>1014</v>
      </c>
      <c r="H60" s="15" t="s">
        <v>9</v>
      </c>
      <c r="I60" s="22">
        <v>35</v>
      </c>
      <c r="J60" s="14">
        <v>12</v>
      </c>
      <c r="K60" s="23">
        <v>420</v>
      </c>
    </row>
    <row r="61" spans="3:11" x14ac:dyDescent="0.25">
      <c r="C61" s="18">
        <v>43108</v>
      </c>
      <c r="D61" s="14">
        <v>1</v>
      </c>
      <c r="E61" s="14">
        <v>2018</v>
      </c>
      <c r="F61" s="14" t="s">
        <v>35</v>
      </c>
      <c r="G61" s="14">
        <v>1014</v>
      </c>
      <c r="H61" s="15" t="s">
        <v>9</v>
      </c>
      <c r="I61" s="22">
        <v>35</v>
      </c>
      <c r="J61" s="14">
        <v>6</v>
      </c>
      <c r="K61" s="23">
        <v>210</v>
      </c>
    </row>
    <row r="62" spans="3:11" x14ac:dyDescent="0.25">
      <c r="C62" s="18">
        <v>43132</v>
      </c>
      <c r="D62" s="14">
        <v>2</v>
      </c>
      <c r="E62" s="14">
        <v>2018</v>
      </c>
      <c r="F62" s="14" t="s">
        <v>35</v>
      </c>
      <c r="G62" s="14">
        <v>1011</v>
      </c>
      <c r="H62" s="15" t="s">
        <v>6</v>
      </c>
      <c r="I62" s="22">
        <v>1669</v>
      </c>
      <c r="J62" s="14">
        <v>6</v>
      </c>
      <c r="K62" s="23">
        <v>10014</v>
      </c>
    </row>
    <row r="63" spans="3:11" x14ac:dyDescent="0.25">
      <c r="C63" s="18">
        <v>43471</v>
      </c>
      <c r="D63" s="14">
        <v>1</v>
      </c>
      <c r="E63" s="14">
        <v>2019</v>
      </c>
      <c r="F63" s="14" t="s">
        <v>35</v>
      </c>
      <c r="G63" s="14">
        <v>1014</v>
      </c>
      <c r="H63" s="15" t="s">
        <v>9</v>
      </c>
      <c r="I63" s="22">
        <v>35</v>
      </c>
      <c r="J63" s="14">
        <v>28</v>
      </c>
      <c r="K63" s="23">
        <v>980</v>
      </c>
    </row>
    <row r="64" spans="3:11" x14ac:dyDescent="0.25">
      <c r="C64" s="18">
        <v>43483</v>
      </c>
      <c r="D64" s="14">
        <v>1</v>
      </c>
      <c r="E64" s="14">
        <v>2019</v>
      </c>
      <c r="F64" s="14" t="s">
        <v>35</v>
      </c>
      <c r="G64" s="14">
        <v>1015</v>
      </c>
      <c r="H64" s="15" t="s">
        <v>10</v>
      </c>
      <c r="I64" s="22">
        <v>20</v>
      </c>
      <c r="J64" s="14">
        <v>8</v>
      </c>
      <c r="K64" s="23">
        <v>160</v>
      </c>
    </row>
    <row r="65" spans="3:11" x14ac:dyDescent="0.25">
      <c r="C65" s="18">
        <v>43487</v>
      </c>
      <c r="D65" s="14">
        <v>1</v>
      </c>
      <c r="E65" s="14">
        <v>2019</v>
      </c>
      <c r="F65" s="14" t="s">
        <v>35</v>
      </c>
      <c r="G65" s="14">
        <v>1014</v>
      </c>
      <c r="H65" s="15" t="s">
        <v>9</v>
      </c>
      <c r="I65" s="22">
        <v>35</v>
      </c>
      <c r="J65" s="14">
        <v>28</v>
      </c>
      <c r="K65" s="23">
        <v>980</v>
      </c>
    </row>
    <row r="66" spans="3:11" x14ac:dyDescent="0.25">
      <c r="C66" s="18">
        <v>43471</v>
      </c>
      <c r="D66" s="14">
        <v>1</v>
      </c>
      <c r="E66" s="14">
        <v>2019</v>
      </c>
      <c r="F66" s="14" t="s">
        <v>35</v>
      </c>
      <c r="G66" s="14">
        <v>1011</v>
      </c>
      <c r="H66" s="15" t="s">
        <v>6</v>
      </c>
      <c r="I66" s="22">
        <v>1669</v>
      </c>
      <c r="J66" s="14">
        <v>30</v>
      </c>
      <c r="K66" s="23">
        <v>50070</v>
      </c>
    </row>
    <row r="67" spans="3:11" x14ac:dyDescent="0.25">
      <c r="C67" s="18">
        <v>43474</v>
      </c>
      <c r="D67" s="14">
        <v>1</v>
      </c>
      <c r="E67" s="14">
        <v>2019</v>
      </c>
      <c r="F67" s="14" t="s">
        <v>35</v>
      </c>
      <c r="G67" s="14">
        <v>1018</v>
      </c>
      <c r="H67" s="15" t="s">
        <v>13</v>
      </c>
      <c r="I67" s="22">
        <v>2200.9899999999998</v>
      </c>
      <c r="J67" s="14">
        <v>11</v>
      </c>
      <c r="K67" s="23">
        <v>24210.89</v>
      </c>
    </row>
    <row r="68" spans="3:11" x14ac:dyDescent="0.25">
      <c r="C68" s="18">
        <v>43477</v>
      </c>
      <c r="D68" s="14">
        <v>1</v>
      </c>
      <c r="E68" s="14">
        <v>2019</v>
      </c>
      <c r="F68" s="14" t="s">
        <v>35</v>
      </c>
      <c r="G68" s="14">
        <v>1016</v>
      </c>
      <c r="H68" s="15" t="s">
        <v>11</v>
      </c>
      <c r="I68" s="22">
        <v>1249.99</v>
      </c>
      <c r="J68" s="14">
        <v>18</v>
      </c>
      <c r="K68" s="23">
        <v>22499.82</v>
      </c>
    </row>
    <row r="69" spans="3:11" x14ac:dyDescent="0.25">
      <c r="C69" s="18">
        <v>43473</v>
      </c>
      <c r="D69" s="14">
        <v>1</v>
      </c>
      <c r="E69" s="14">
        <v>2019</v>
      </c>
      <c r="F69" s="14" t="s">
        <v>35</v>
      </c>
      <c r="G69" s="14">
        <v>1013</v>
      </c>
      <c r="H69" s="15" t="s">
        <v>8</v>
      </c>
      <c r="I69" s="22">
        <v>750</v>
      </c>
      <c r="J69" s="14">
        <v>17</v>
      </c>
      <c r="K69" s="23">
        <v>12750</v>
      </c>
    </row>
    <row r="70" spans="3:11" x14ac:dyDescent="0.25">
      <c r="C70" s="18">
        <v>43475</v>
      </c>
      <c r="D70" s="14">
        <v>1</v>
      </c>
      <c r="E70" s="14">
        <v>2019</v>
      </c>
      <c r="F70" s="14" t="s">
        <v>35</v>
      </c>
      <c r="G70" s="14">
        <v>1011</v>
      </c>
      <c r="H70" s="15" t="s">
        <v>6</v>
      </c>
      <c r="I70" s="22">
        <v>1669</v>
      </c>
      <c r="J70" s="14">
        <v>15</v>
      </c>
      <c r="K70" s="23">
        <v>25035</v>
      </c>
    </row>
    <row r="71" spans="3:11" x14ac:dyDescent="0.25">
      <c r="C71" s="18">
        <v>43473</v>
      </c>
      <c r="D71" s="14">
        <v>1</v>
      </c>
      <c r="E71" s="14">
        <v>2019</v>
      </c>
      <c r="F71" s="14" t="s">
        <v>35</v>
      </c>
      <c r="G71" s="14">
        <v>1013</v>
      </c>
      <c r="H71" s="15" t="s">
        <v>8</v>
      </c>
      <c r="I71" s="22">
        <v>750</v>
      </c>
      <c r="J71" s="14">
        <v>8</v>
      </c>
      <c r="K71" s="23">
        <v>6000</v>
      </c>
    </row>
    <row r="72" spans="3:11" x14ac:dyDescent="0.25">
      <c r="C72" s="18">
        <v>43470</v>
      </c>
      <c r="D72" s="14">
        <v>1</v>
      </c>
      <c r="E72" s="14">
        <v>2019</v>
      </c>
      <c r="F72" s="14" t="s">
        <v>35</v>
      </c>
      <c r="G72" s="14">
        <v>1012</v>
      </c>
      <c r="H72" s="15" t="s">
        <v>7</v>
      </c>
      <c r="I72" s="22">
        <v>1350</v>
      </c>
      <c r="J72" s="14">
        <v>16</v>
      </c>
      <c r="K72" s="23">
        <v>21600</v>
      </c>
    </row>
    <row r="73" spans="3:11" x14ac:dyDescent="0.25">
      <c r="C73" s="18">
        <v>43101</v>
      </c>
      <c r="D73" s="14">
        <v>1</v>
      </c>
      <c r="E73" s="14">
        <v>2018</v>
      </c>
      <c r="F73" s="14" t="s">
        <v>35</v>
      </c>
      <c r="G73" s="14">
        <v>1011</v>
      </c>
      <c r="H73" s="15" t="s">
        <v>6</v>
      </c>
      <c r="I73" s="22">
        <v>1669</v>
      </c>
      <c r="J73" s="14">
        <v>20</v>
      </c>
      <c r="K73" s="23">
        <v>33380</v>
      </c>
    </row>
    <row r="74" spans="3:11" x14ac:dyDescent="0.25">
      <c r="C74" s="18">
        <v>43115</v>
      </c>
      <c r="D74" s="14">
        <v>1</v>
      </c>
      <c r="E74" s="14">
        <v>2018</v>
      </c>
      <c r="F74" s="14" t="s">
        <v>35</v>
      </c>
      <c r="G74" s="14">
        <v>1011</v>
      </c>
      <c r="H74" s="15" t="s">
        <v>6</v>
      </c>
      <c r="I74" s="22">
        <v>1669</v>
      </c>
      <c r="J74" s="14">
        <v>10</v>
      </c>
      <c r="K74" s="23">
        <v>16690</v>
      </c>
    </row>
    <row r="75" spans="3:11" x14ac:dyDescent="0.25">
      <c r="C75" s="18">
        <v>43483</v>
      </c>
      <c r="D75" s="14">
        <v>1</v>
      </c>
      <c r="E75" s="14">
        <v>2019</v>
      </c>
      <c r="F75" s="14" t="s">
        <v>24</v>
      </c>
      <c r="G75" s="14">
        <v>1018</v>
      </c>
      <c r="H75" s="15" t="s">
        <v>13</v>
      </c>
      <c r="I75" s="22">
        <v>2200.9899999999998</v>
      </c>
      <c r="J75" s="14">
        <v>100</v>
      </c>
      <c r="K75" s="23">
        <v>220098.99999999997</v>
      </c>
    </row>
    <row r="76" spans="3:11" x14ac:dyDescent="0.25">
      <c r="C76" s="18">
        <v>43483</v>
      </c>
      <c r="D76" s="14">
        <v>1</v>
      </c>
      <c r="E76" s="14">
        <v>2019</v>
      </c>
      <c r="F76" s="14" t="s">
        <v>24</v>
      </c>
      <c r="G76" s="14">
        <v>1016</v>
      </c>
      <c r="H76" s="15" t="s">
        <v>11</v>
      </c>
      <c r="I76" s="22">
        <v>1249.99</v>
      </c>
      <c r="J76" s="14">
        <v>100</v>
      </c>
      <c r="K76" s="23">
        <v>124999</v>
      </c>
    </row>
    <row r="77" spans="3:11" x14ac:dyDescent="0.25">
      <c r="C77" s="18">
        <v>43483</v>
      </c>
      <c r="D77" s="14">
        <v>1</v>
      </c>
      <c r="E77" s="14">
        <v>2019</v>
      </c>
      <c r="F77" s="14" t="s">
        <v>24</v>
      </c>
      <c r="G77" s="14">
        <v>1017</v>
      </c>
      <c r="H77" s="15" t="s">
        <v>12</v>
      </c>
      <c r="I77" s="22">
        <v>879.99</v>
      </c>
      <c r="J77" s="14">
        <v>100</v>
      </c>
      <c r="K77" s="23">
        <v>87999</v>
      </c>
    </row>
    <row r="78" spans="3:11" x14ac:dyDescent="0.25">
      <c r="C78" s="18">
        <v>43483</v>
      </c>
      <c r="D78" s="14">
        <v>1</v>
      </c>
      <c r="E78" s="14">
        <v>2019</v>
      </c>
      <c r="F78" s="14" t="s">
        <v>24</v>
      </c>
      <c r="G78" s="14">
        <v>1015</v>
      </c>
      <c r="H78" s="15" t="s">
        <v>10</v>
      </c>
      <c r="I78" s="22">
        <v>20</v>
      </c>
      <c r="J78" s="14">
        <v>100</v>
      </c>
      <c r="K78" s="23">
        <v>2000</v>
      </c>
    </row>
    <row r="79" spans="3:11" x14ac:dyDescent="0.25">
      <c r="C79" s="18">
        <v>43483</v>
      </c>
      <c r="D79" s="14">
        <v>1</v>
      </c>
      <c r="E79" s="14">
        <v>2019</v>
      </c>
      <c r="F79" s="14" t="s">
        <v>24</v>
      </c>
      <c r="G79" s="14">
        <v>1014</v>
      </c>
      <c r="H79" s="15" t="s">
        <v>9</v>
      </c>
      <c r="I79" s="22">
        <v>35</v>
      </c>
      <c r="J79" s="14">
        <v>100</v>
      </c>
      <c r="K79" s="23">
        <v>3500</v>
      </c>
    </row>
    <row r="80" spans="3:11" x14ac:dyDescent="0.25">
      <c r="C80" s="18">
        <v>43483</v>
      </c>
      <c r="D80" s="14">
        <v>1</v>
      </c>
      <c r="E80" s="14">
        <v>2019</v>
      </c>
      <c r="F80" s="14" t="s">
        <v>24</v>
      </c>
      <c r="G80" s="14">
        <v>1013</v>
      </c>
      <c r="H80" s="15" t="s">
        <v>8</v>
      </c>
      <c r="I80" s="22">
        <v>750</v>
      </c>
      <c r="J80" s="14">
        <v>100</v>
      </c>
      <c r="K80" s="23">
        <v>75000</v>
      </c>
    </row>
    <row r="81" spans="3:11" x14ac:dyDescent="0.25">
      <c r="C81" s="18">
        <v>43483</v>
      </c>
      <c r="D81" s="14">
        <v>1</v>
      </c>
      <c r="E81" s="14">
        <v>2019</v>
      </c>
      <c r="F81" s="14" t="s">
        <v>24</v>
      </c>
      <c r="G81" s="14">
        <v>1012</v>
      </c>
      <c r="H81" s="15" t="s">
        <v>7</v>
      </c>
      <c r="I81" s="22">
        <v>1350</v>
      </c>
      <c r="J81" s="14">
        <v>100</v>
      </c>
      <c r="K81" s="23">
        <v>135000</v>
      </c>
    </row>
    <row r="82" spans="3:11" x14ac:dyDescent="0.25">
      <c r="C82" s="18">
        <v>43483</v>
      </c>
      <c r="D82" s="14">
        <v>1</v>
      </c>
      <c r="E82" s="14">
        <v>2019</v>
      </c>
      <c r="F82" s="14" t="s">
        <v>24</v>
      </c>
      <c r="G82" s="14">
        <v>1011</v>
      </c>
      <c r="H82" s="15" t="s">
        <v>6</v>
      </c>
      <c r="I82" s="22">
        <v>1669</v>
      </c>
      <c r="J82" s="14">
        <v>100</v>
      </c>
      <c r="K82" s="23">
        <v>166900</v>
      </c>
    </row>
    <row r="84" spans="3:11" x14ac:dyDescent="0.25">
      <c r="J84" s="14">
        <f>SUBTOTAL(9,LANÇAMENTOS_QUANTIDADE)</f>
        <v>4113</v>
      </c>
      <c r="K84" s="22" t="e">
        <f>SUBTOTAL(9,LANÇAMENTOS_TOTAL)</f>
        <v>#VALUE!</v>
      </c>
    </row>
    <row r="86" spans="3:11" x14ac:dyDescent="0.25">
      <c r="J86" s="39">
        <f>SUM(LANÇAMENTOS_QUANTIDADE)</f>
        <v>4113</v>
      </c>
    </row>
  </sheetData>
  <autoFilter ref="C3:K82" xr:uid="{EE8ED03E-14CB-458F-9F5A-FEEA63A3ED35}"/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B4445-671B-41AA-89A0-DE78390D5C63}">
  <sheetPr codeName="Planilha16"/>
  <dimension ref="C4:K58"/>
  <sheetViews>
    <sheetView workbookViewId="0">
      <selection activeCell="J15" sqref="J15"/>
    </sheetView>
  </sheetViews>
  <sheetFormatPr defaultRowHeight="15" outlineLevelRow="2" x14ac:dyDescent="0.25"/>
  <cols>
    <col min="3" max="3" width="10.7109375" bestFit="1" customWidth="1"/>
    <col min="4" max="4" width="4.7109375" bestFit="1" customWidth="1"/>
    <col min="5" max="5" width="5.140625" bestFit="1" customWidth="1"/>
    <col min="6" max="6" width="9.42578125" bestFit="1" customWidth="1"/>
    <col min="7" max="7" width="8.140625" bestFit="1" customWidth="1"/>
    <col min="8" max="8" width="34.85546875" bestFit="1" customWidth="1"/>
    <col min="9" max="9" width="10.7109375" bestFit="1" customWidth="1"/>
    <col min="10" max="10" width="12.85546875" bestFit="1" customWidth="1"/>
    <col min="11" max="11" width="12.7109375" bestFit="1" customWidth="1"/>
  </cols>
  <sheetData>
    <row r="4" spans="3:11" x14ac:dyDescent="0.25">
      <c r="C4" s="24" t="s">
        <v>26</v>
      </c>
      <c r="D4" s="24" t="s">
        <v>27</v>
      </c>
      <c r="E4" s="24" t="s">
        <v>28</v>
      </c>
      <c r="F4" s="24" t="s">
        <v>23</v>
      </c>
      <c r="G4" s="24" t="s">
        <v>3</v>
      </c>
      <c r="H4" s="24" t="s">
        <v>4</v>
      </c>
      <c r="I4" s="47" t="s">
        <v>5</v>
      </c>
      <c r="J4" s="47" t="s">
        <v>25</v>
      </c>
      <c r="K4" s="47" t="s">
        <v>29</v>
      </c>
    </row>
    <row r="5" spans="3:11" outlineLevel="2" x14ac:dyDescent="0.25">
      <c r="C5" s="18">
        <v>43470</v>
      </c>
      <c r="D5" s="14">
        <v>1</v>
      </c>
      <c r="E5" s="14">
        <v>2019</v>
      </c>
      <c r="F5" s="14" t="s">
        <v>35</v>
      </c>
      <c r="G5" s="14">
        <v>1012</v>
      </c>
      <c r="H5" s="15" t="s">
        <v>7</v>
      </c>
      <c r="I5" s="22">
        <v>1350</v>
      </c>
      <c r="J5" s="14">
        <v>16</v>
      </c>
      <c r="K5" s="23">
        <v>21600</v>
      </c>
    </row>
    <row r="6" spans="3:11" outlineLevel="2" x14ac:dyDescent="0.25">
      <c r="C6" s="18">
        <v>43483</v>
      </c>
      <c r="D6" s="14">
        <v>1</v>
      </c>
      <c r="E6" s="14">
        <v>2019</v>
      </c>
      <c r="F6" s="14" t="s">
        <v>24</v>
      </c>
      <c r="G6" s="14">
        <v>1012</v>
      </c>
      <c r="H6" s="15" t="s">
        <v>7</v>
      </c>
      <c r="I6" s="22">
        <v>1350</v>
      </c>
      <c r="J6" s="14">
        <v>100</v>
      </c>
      <c r="K6" s="23">
        <v>135000</v>
      </c>
    </row>
    <row r="7" spans="3:11" outlineLevel="2" x14ac:dyDescent="0.25">
      <c r="C7" s="18">
        <v>43263</v>
      </c>
      <c r="D7" s="14">
        <v>6</v>
      </c>
      <c r="E7" s="14">
        <v>2018</v>
      </c>
      <c r="F7" s="14" t="s">
        <v>35</v>
      </c>
      <c r="G7" s="14">
        <v>1012</v>
      </c>
      <c r="H7" s="15" t="s">
        <v>7</v>
      </c>
      <c r="I7" s="22">
        <v>1350</v>
      </c>
      <c r="J7" s="14">
        <v>25</v>
      </c>
      <c r="K7" s="23">
        <v>33750</v>
      </c>
    </row>
    <row r="8" spans="3:11" outlineLevel="1" x14ac:dyDescent="0.25">
      <c r="C8" s="18"/>
      <c r="D8" s="14"/>
      <c r="E8" s="14"/>
      <c r="F8" s="14"/>
      <c r="G8" s="14"/>
      <c r="H8" s="55" t="s">
        <v>71</v>
      </c>
      <c r="I8" s="22"/>
      <c r="J8" s="14">
        <f>SUBTOTAL(9,J5:J7)</f>
        <v>141</v>
      </c>
      <c r="K8" s="23">
        <f>SUBTOTAL(9,K5:K7)</f>
        <v>190350</v>
      </c>
    </row>
    <row r="9" spans="3:11" outlineLevel="2" x14ac:dyDescent="0.25">
      <c r="C9" s="18">
        <v>43101</v>
      </c>
      <c r="D9" s="14">
        <v>1</v>
      </c>
      <c r="E9" s="14">
        <v>2018</v>
      </c>
      <c r="F9" s="14" t="s">
        <v>35</v>
      </c>
      <c r="G9" s="14">
        <v>1011</v>
      </c>
      <c r="H9" s="15" t="s">
        <v>6</v>
      </c>
      <c r="I9" s="22">
        <v>1669</v>
      </c>
      <c r="J9" s="14">
        <v>20</v>
      </c>
      <c r="K9" s="23">
        <v>33380</v>
      </c>
    </row>
    <row r="10" spans="3:11" outlineLevel="2" x14ac:dyDescent="0.25">
      <c r="C10" s="18">
        <v>43115</v>
      </c>
      <c r="D10" s="14">
        <v>1</v>
      </c>
      <c r="E10" s="14">
        <v>2018</v>
      </c>
      <c r="F10" s="14" t="s">
        <v>35</v>
      </c>
      <c r="G10" s="14">
        <v>1011</v>
      </c>
      <c r="H10" s="15" t="s">
        <v>6</v>
      </c>
      <c r="I10" s="22">
        <v>1669</v>
      </c>
      <c r="J10" s="14">
        <v>10</v>
      </c>
      <c r="K10" s="23">
        <v>16690</v>
      </c>
    </row>
    <row r="11" spans="3:11" outlineLevel="2" x14ac:dyDescent="0.25">
      <c r="C11" s="18">
        <v>43471</v>
      </c>
      <c r="D11" s="14">
        <v>1</v>
      </c>
      <c r="E11" s="14">
        <v>2019</v>
      </c>
      <c r="F11" s="14" t="s">
        <v>35</v>
      </c>
      <c r="G11" s="14">
        <v>1011</v>
      </c>
      <c r="H11" s="15" t="s">
        <v>6</v>
      </c>
      <c r="I11" s="22">
        <v>1669</v>
      </c>
      <c r="J11" s="14">
        <v>30</v>
      </c>
      <c r="K11" s="23">
        <v>50070</v>
      </c>
    </row>
    <row r="12" spans="3:11" outlineLevel="2" x14ac:dyDescent="0.25">
      <c r="C12" s="18">
        <v>43475</v>
      </c>
      <c r="D12" s="14">
        <v>1</v>
      </c>
      <c r="E12" s="14">
        <v>2019</v>
      </c>
      <c r="F12" s="14" t="s">
        <v>35</v>
      </c>
      <c r="G12" s="14">
        <v>1011</v>
      </c>
      <c r="H12" s="15" t="s">
        <v>6</v>
      </c>
      <c r="I12" s="22">
        <v>1669</v>
      </c>
      <c r="J12" s="14">
        <v>15</v>
      </c>
      <c r="K12" s="23">
        <v>25035</v>
      </c>
    </row>
    <row r="13" spans="3:11" outlineLevel="2" x14ac:dyDescent="0.25">
      <c r="C13" s="18">
        <v>43483</v>
      </c>
      <c r="D13" s="14">
        <v>1</v>
      </c>
      <c r="E13" s="14">
        <v>2019</v>
      </c>
      <c r="F13" s="14" t="s">
        <v>24</v>
      </c>
      <c r="G13" s="14">
        <v>1011</v>
      </c>
      <c r="H13" s="15" t="s">
        <v>6</v>
      </c>
      <c r="I13" s="22">
        <v>1669</v>
      </c>
      <c r="J13" s="14">
        <v>100</v>
      </c>
      <c r="K13" s="23">
        <v>166900</v>
      </c>
    </row>
    <row r="14" spans="3:11" outlineLevel="2" x14ac:dyDescent="0.25">
      <c r="C14" s="18">
        <v>43132</v>
      </c>
      <c r="D14" s="14">
        <v>2</v>
      </c>
      <c r="E14" s="14">
        <v>2018</v>
      </c>
      <c r="F14" s="14" t="s">
        <v>35</v>
      </c>
      <c r="G14" s="14">
        <v>1011</v>
      </c>
      <c r="H14" s="15" t="s">
        <v>6</v>
      </c>
      <c r="I14" s="22">
        <v>1669</v>
      </c>
      <c r="J14" s="14">
        <v>6</v>
      </c>
      <c r="K14" s="23">
        <v>10014</v>
      </c>
    </row>
    <row r="15" spans="3:11" outlineLevel="1" x14ac:dyDescent="0.25">
      <c r="C15" s="18"/>
      <c r="D15" s="14"/>
      <c r="E15" s="14"/>
      <c r="F15" s="14"/>
      <c r="G15" s="14"/>
      <c r="H15" s="55" t="s">
        <v>72</v>
      </c>
      <c r="I15" s="22"/>
      <c r="J15" s="14">
        <f>SUBTOTAL(9,J9:J14)</f>
        <v>181</v>
      </c>
      <c r="K15" s="23">
        <f>SUBTOTAL(9,K9:K14)</f>
        <v>302089</v>
      </c>
    </row>
    <row r="16" spans="3:11" outlineLevel="2" x14ac:dyDescent="0.25">
      <c r="C16" s="18">
        <v>43483</v>
      </c>
      <c r="D16" s="14">
        <v>1</v>
      </c>
      <c r="E16" s="14">
        <v>2019</v>
      </c>
      <c r="F16" s="14" t="s">
        <v>24</v>
      </c>
      <c r="G16" s="14">
        <v>1018</v>
      </c>
      <c r="H16" s="15" t="s">
        <v>13</v>
      </c>
      <c r="I16" s="22">
        <v>2200.9899999999998</v>
      </c>
      <c r="J16" s="14">
        <v>150</v>
      </c>
      <c r="K16" s="23">
        <v>330148.49999999994</v>
      </c>
    </row>
    <row r="17" spans="3:11" outlineLevel="2" x14ac:dyDescent="0.25">
      <c r="C17" s="18">
        <v>43474</v>
      </c>
      <c r="D17" s="14">
        <v>1</v>
      </c>
      <c r="E17" s="14">
        <v>2019</v>
      </c>
      <c r="F17" s="14" t="s">
        <v>35</v>
      </c>
      <c r="G17" s="14">
        <v>1018</v>
      </c>
      <c r="H17" s="15" t="s">
        <v>13</v>
      </c>
      <c r="I17" s="22">
        <v>2200.9899999999998</v>
      </c>
      <c r="J17" s="14">
        <v>11</v>
      </c>
      <c r="K17" s="23">
        <v>24210.89</v>
      </c>
    </row>
    <row r="18" spans="3:11" outlineLevel="2" x14ac:dyDescent="0.25">
      <c r="C18" s="18">
        <v>43483</v>
      </c>
      <c r="D18" s="14">
        <v>1</v>
      </c>
      <c r="E18" s="14">
        <v>2019</v>
      </c>
      <c r="F18" s="14" t="s">
        <v>24</v>
      </c>
      <c r="G18" s="14">
        <v>1018</v>
      </c>
      <c r="H18" s="15" t="s">
        <v>13</v>
      </c>
      <c r="I18" s="22">
        <v>2200.9899999999998</v>
      </c>
      <c r="J18" s="14">
        <v>100</v>
      </c>
      <c r="K18" s="23">
        <v>220098.99999999997</v>
      </c>
    </row>
    <row r="19" spans="3:11" outlineLevel="2" x14ac:dyDescent="0.25">
      <c r="C19" s="18">
        <v>43195</v>
      </c>
      <c r="D19" s="14">
        <v>4</v>
      </c>
      <c r="E19" s="14">
        <v>2018</v>
      </c>
      <c r="F19" s="14" t="s">
        <v>35</v>
      </c>
      <c r="G19" s="14">
        <v>1018</v>
      </c>
      <c r="H19" s="15" t="s">
        <v>13</v>
      </c>
      <c r="I19" s="22">
        <v>2200.9899999999998</v>
      </c>
      <c r="J19" s="14">
        <v>12</v>
      </c>
      <c r="K19" s="23">
        <v>26411.879999999997</v>
      </c>
    </row>
    <row r="20" spans="3:11" outlineLevel="2" x14ac:dyDescent="0.25">
      <c r="C20" s="18">
        <v>43283</v>
      </c>
      <c r="D20" s="14">
        <v>7</v>
      </c>
      <c r="E20" s="14">
        <v>2018</v>
      </c>
      <c r="F20" s="14" t="s">
        <v>35</v>
      </c>
      <c r="G20" s="14">
        <v>1018</v>
      </c>
      <c r="H20" s="15" t="s">
        <v>13</v>
      </c>
      <c r="I20" s="22">
        <v>2200.9899999999998</v>
      </c>
      <c r="J20" s="14">
        <v>15</v>
      </c>
      <c r="K20" s="23">
        <v>33014.85</v>
      </c>
    </row>
    <row r="21" spans="3:11" outlineLevel="2" x14ac:dyDescent="0.25">
      <c r="C21" s="18">
        <v>43296</v>
      </c>
      <c r="D21" s="14">
        <v>7</v>
      </c>
      <c r="E21" s="14">
        <v>2018</v>
      </c>
      <c r="F21" s="14" t="s">
        <v>35</v>
      </c>
      <c r="G21" s="14">
        <v>1018</v>
      </c>
      <c r="H21" s="15" t="s">
        <v>13</v>
      </c>
      <c r="I21" s="22">
        <v>2200.9899999999998</v>
      </c>
      <c r="J21" s="14">
        <v>20</v>
      </c>
      <c r="K21" s="23">
        <v>44019.799999999996</v>
      </c>
    </row>
    <row r="22" spans="3:11" outlineLevel="2" x14ac:dyDescent="0.25">
      <c r="C22" s="18">
        <v>43324</v>
      </c>
      <c r="D22" s="14">
        <v>8</v>
      </c>
      <c r="E22" s="14">
        <v>2018</v>
      </c>
      <c r="F22" s="14" t="s">
        <v>35</v>
      </c>
      <c r="G22" s="14">
        <v>1018</v>
      </c>
      <c r="H22" s="15" t="s">
        <v>13</v>
      </c>
      <c r="I22" s="22">
        <v>2200.9899999999998</v>
      </c>
      <c r="J22" s="14">
        <v>9</v>
      </c>
      <c r="K22" s="23">
        <v>19808.909999999996</v>
      </c>
    </row>
    <row r="23" spans="3:11" outlineLevel="1" x14ac:dyDescent="0.25">
      <c r="C23" s="18"/>
      <c r="D23" s="14"/>
      <c r="E23" s="14"/>
      <c r="F23" s="14"/>
      <c r="G23" s="14"/>
      <c r="H23" s="55" t="s">
        <v>73</v>
      </c>
      <c r="I23" s="22"/>
      <c r="J23" s="14">
        <f>SUBTOTAL(9,J16:J22)</f>
        <v>317</v>
      </c>
      <c r="K23" s="23">
        <f>SUBTOTAL(9,K16:K22)</f>
        <v>697713.83</v>
      </c>
    </row>
    <row r="24" spans="3:11" outlineLevel="2" x14ac:dyDescent="0.25">
      <c r="C24" s="18">
        <v>43486</v>
      </c>
      <c r="D24" s="14">
        <v>1</v>
      </c>
      <c r="E24" s="14">
        <v>2019</v>
      </c>
      <c r="F24" s="14" t="s">
        <v>24</v>
      </c>
      <c r="G24" s="14">
        <v>1013</v>
      </c>
      <c r="H24" s="15" t="s">
        <v>8</v>
      </c>
      <c r="I24" s="22">
        <v>750</v>
      </c>
      <c r="J24" s="14">
        <v>200</v>
      </c>
      <c r="K24" s="23">
        <v>150000</v>
      </c>
    </row>
    <row r="25" spans="3:11" outlineLevel="2" x14ac:dyDescent="0.25">
      <c r="C25" s="18">
        <v>43473</v>
      </c>
      <c r="D25" s="14">
        <v>1</v>
      </c>
      <c r="E25" s="14">
        <v>2019</v>
      </c>
      <c r="F25" s="14" t="s">
        <v>35</v>
      </c>
      <c r="G25" s="14">
        <v>1013</v>
      </c>
      <c r="H25" s="15" t="s">
        <v>8</v>
      </c>
      <c r="I25" s="22">
        <v>750</v>
      </c>
      <c r="J25" s="14">
        <v>17</v>
      </c>
      <c r="K25" s="23">
        <v>12750</v>
      </c>
    </row>
    <row r="26" spans="3:11" outlineLevel="2" x14ac:dyDescent="0.25">
      <c r="C26" s="18">
        <v>43473</v>
      </c>
      <c r="D26" s="14">
        <v>1</v>
      </c>
      <c r="E26" s="14">
        <v>2019</v>
      </c>
      <c r="F26" s="14" t="s">
        <v>35</v>
      </c>
      <c r="G26" s="14">
        <v>1013</v>
      </c>
      <c r="H26" s="15" t="s">
        <v>8</v>
      </c>
      <c r="I26" s="22">
        <v>750</v>
      </c>
      <c r="J26" s="14">
        <v>8</v>
      </c>
      <c r="K26" s="23">
        <v>6000</v>
      </c>
    </row>
    <row r="27" spans="3:11" outlineLevel="2" x14ac:dyDescent="0.25">
      <c r="C27" s="18">
        <v>43483</v>
      </c>
      <c r="D27" s="14">
        <v>1</v>
      </c>
      <c r="E27" s="14">
        <v>2019</v>
      </c>
      <c r="F27" s="14" t="s">
        <v>24</v>
      </c>
      <c r="G27" s="14">
        <v>1013</v>
      </c>
      <c r="H27" s="15" t="s">
        <v>8</v>
      </c>
      <c r="I27" s="22">
        <v>750</v>
      </c>
      <c r="J27" s="14">
        <v>100</v>
      </c>
      <c r="K27" s="23">
        <v>75000</v>
      </c>
    </row>
    <row r="28" spans="3:11" outlineLevel="1" x14ac:dyDescent="0.25">
      <c r="C28" s="18"/>
      <c r="D28" s="14"/>
      <c r="E28" s="14"/>
      <c r="F28" s="14"/>
      <c r="G28" s="14"/>
      <c r="H28" s="55" t="s">
        <v>74</v>
      </c>
      <c r="I28" s="22"/>
      <c r="J28" s="14">
        <f>SUBTOTAL(9,J24:J27)</f>
        <v>325</v>
      </c>
      <c r="K28" s="23">
        <f>SUBTOTAL(9,K24:K27)</f>
        <v>243750</v>
      </c>
    </row>
    <row r="29" spans="3:11" outlineLevel="2" x14ac:dyDescent="0.25">
      <c r="C29" s="18">
        <v>43483</v>
      </c>
      <c r="D29" s="14">
        <v>1</v>
      </c>
      <c r="E29" s="14">
        <v>2019</v>
      </c>
      <c r="F29" s="14" t="s">
        <v>35</v>
      </c>
      <c r="G29" s="14">
        <v>1015</v>
      </c>
      <c r="H29" s="15" t="s">
        <v>10</v>
      </c>
      <c r="I29" s="22">
        <v>20</v>
      </c>
      <c r="J29" s="14">
        <v>8</v>
      </c>
      <c r="K29" s="23">
        <v>160</v>
      </c>
    </row>
    <row r="30" spans="3:11" outlineLevel="2" x14ac:dyDescent="0.25">
      <c r="C30" s="18">
        <v>43483</v>
      </c>
      <c r="D30" s="14">
        <v>1</v>
      </c>
      <c r="E30" s="14">
        <v>2019</v>
      </c>
      <c r="F30" s="14" t="s">
        <v>24</v>
      </c>
      <c r="G30" s="14">
        <v>1015</v>
      </c>
      <c r="H30" s="15" t="s">
        <v>10</v>
      </c>
      <c r="I30" s="22">
        <v>20</v>
      </c>
      <c r="J30" s="14">
        <v>100</v>
      </c>
      <c r="K30" s="23">
        <v>2000</v>
      </c>
    </row>
    <row r="31" spans="3:11" outlineLevel="2" x14ac:dyDescent="0.25">
      <c r="C31" s="18">
        <v>43257</v>
      </c>
      <c r="D31" s="14">
        <v>6</v>
      </c>
      <c r="E31" s="14">
        <v>2018</v>
      </c>
      <c r="F31" s="14" t="s">
        <v>35</v>
      </c>
      <c r="G31" s="14">
        <v>1015</v>
      </c>
      <c r="H31" s="15" t="s">
        <v>10</v>
      </c>
      <c r="I31" s="22">
        <v>20</v>
      </c>
      <c r="J31" s="14">
        <v>20</v>
      </c>
      <c r="K31" s="23">
        <v>400</v>
      </c>
    </row>
    <row r="32" spans="3:11" outlineLevel="2" x14ac:dyDescent="0.25">
      <c r="C32" s="18">
        <v>43302</v>
      </c>
      <c r="D32" s="14">
        <v>7</v>
      </c>
      <c r="E32" s="14">
        <v>2018</v>
      </c>
      <c r="F32" s="14" t="s">
        <v>35</v>
      </c>
      <c r="G32" s="14">
        <v>1015</v>
      </c>
      <c r="H32" s="15" t="s">
        <v>10</v>
      </c>
      <c r="I32" s="22">
        <v>20</v>
      </c>
      <c r="J32" s="14">
        <v>18</v>
      </c>
      <c r="K32" s="23">
        <v>360</v>
      </c>
    </row>
    <row r="33" spans="3:11" outlineLevel="1" x14ac:dyDescent="0.25">
      <c r="C33" s="18"/>
      <c r="D33" s="14"/>
      <c r="E33" s="14"/>
      <c r="F33" s="14"/>
      <c r="G33" s="14"/>
      <c r="H33" s="55" t="s">
        <v>75</v>
      </c>
      <c r="I33" s="22"/>
      <c r="J33" s="14">
        <f>SUBTOTAL(9,J29:J32)</f>
        <v>146</v>
      </c>
      <c r="K33" s="23">
        <f>SUBTOTAL(9,K29:K32)</f>
        <v>2920</v>
      </c>
    </row>
    <row r="34" spans="3:11" outlineLevel="2" x14ac:dyDescent="0.25">
      <c r="C34" s="18">
        <v>43486</v>
      </c>
      <c r="D34" s="14">
        <v>1</v>
      </c>
      <c r="E34" s="14">
        <v>2019</v>
      </c>
      <c r="F34" s="14" t="s">
        <v>24</v>
      </c>
      <c r="G34" s="14">
        <v>1016</v>
      </c>
      <c r="H34" s="15" t="s">
        <v>11</v>
      </c>
      <c r="I34" s="22">
        <v>1249.99</v>
      </c>
      <c r="J34" s="14">
        <v>200</v>
      </c>
      <c r="K34" s="23">
        <v>249998</v>
      </c>
    </row>
    <row r="35" spans="3:11" outlineLevel="2" x14ac:dyDescent="0.25">
      <c r="C35" s="18">
        <v>43477</v>
      </c>
      <c r="D35" s="14">
        <v>1</v>
      </c>
      <c r="E35" s="14">
        <v>2019</v>
      </c>
      <c r="F35" s="14" t="s">
        <v>35</v>
      </c>
      <c r="G35" s="14">
        <v>1016</v>
      </c>
      <c r="H35" s="15" t="s">
        <v>11</v>
      </c>
      <c r="I35" s="22">
        <v>1249.99</v>
      </c>
      <c r="J35" s="14">
        <v>18</v>
      </c>
      <c r="K35" s="23">
        <v>22499.82</v>
      </c>
    </row>
    <row r="36" spans="3:11" outlineLevel="2" x14ac:dyDescent="0.25">
      <c r="C36" s="18">
        <v>43483</v>
      </c>
      <c r="D36" s="14">
        <v>1</v>
      </c>
      <c r="E36" s="14">
        <v>2019</v>
      </c>
      <c r="F36" s="14" t="s">
        <v>24</v>
      </c>
      <c r="G36" s="14">
        <v>1016</v>
      </c>
      <c r="H36" s="15" t="s">
        <v>11</v>
      </c>
      <c r="I36" s="22">
        <v>1249.99</v>
      </c>
      <c r="J36" s="14">
        <v>100</v>
      </c>
      <c r="K36" s="23">
        <v>124999</v>
      </c>
    </row>
    <row r="37" spans="3:11" outlineLevel="2" x14ac:dyDescent="0.25">
      <c r="C37" s="18">
        <v>43263</v>
      </c>
      <c r="D37" s="14">
        <v>6</v>
      </c>
      <c r="E37" s="14">
        <v>2018</v>
      </c>
      <c r="F37" s="14" t="s">
        <v>35</v>
      </c>
      <c r="G37" s="14">
        <v>1016</v>
      </c>
      <c r="H37" s="15" t="s">
        <v>11</v>
      </c>
      <c r="I37" s="22">
        <v>1249.99</v>
      </c>
      <c r="J37" s="14">
        <v>15</v>
      </c>
      <c r="K37" s="23">
        <v>18749.849999999999</v>
      </c>
    </row>
    <row r="38" spans="3:11" outlineLevel="2" x14ac:dyDescent="0.25">
      <c r="C38" s="18">
        <v>43257</v>
      </c>
      <c r="D38" s="14">
        <v>6</v>
      </c>
      <c r="E38" s="14">
        <v>2018</v>
      </c>
      <c r="F38" s="14" t="s">
        <v>35</v>
      </c>
      <c r="G38" s="14">
        <v>1016</v>
      </c>
      <c r="H38" s="15" t="s">
        <v>11</v>
      </c>
      <c r="I38" s="22">
        <v>1249.99</v>
      </c>
      <c r="J38" s="14">
        <v>20</v>
      </c>
      <c r="K38" s="23">
        <v>24999.8</v>
      </c>
    </row>
    <row r="39" spans="3:11" outlineLevel="2" x14ac:dyDescent="0.25">
      <c r="C39" s="18">
        <v>43293</v>
      </c>
      <c r="D39" s="14">
        <v>7</v>
      </c>
      <c r="E39" s="14">
        <v>2018</v>
      </c>
      <c r="F39" s="14" t="s">
        <v>35</v>
      </c>
      <c r="G39" s="14">
        <v>1016</v>
      </c>
      <c r="H39" s="15" t="s">
        <v>11</v>
      </c>
      <c r="I39" s="22">
        <v>1249.99</v>
      </c>
      <c r="J39" s="14">
        <v>7</v>
      </c>
      <c r="K39" s="23">
        <v>8749.93</v>
      </c>
    </row>
    <row r="40" spans="3:11" outlineLevel="2" x14ac:dyDescent="0.25">
      <c r="C40" s="18">
        <v>43286</v>
      </c>
      <c r="D40" s="14">
        <v>7</v>
      </c>
      <c r="E40" s="14">
        <v>2018</v>
      </c>
      <c r="F40" s="14" t="s">
        <v>35</v>
      </c>
      <c r="G40" s="14">
        <v>1016</v>
      </c>
      <c r="H40" s="15" t="s">
        <v>11</v>
      </c>
      <c r="I40" s="22">
        <v>1249.99</v>
      </c>
      <c r="J40" s="14">
        <v>17</v>
      </c>
      <c r="K40" s="23">
        <v>21249.83</v>
      </c>
    </row>
    <row r="41" spans="3:11" outlineLevel="2" x14ac:dyDescent="0.25">
      <c r="C41" s="18">
        <v>43337</v>
      </c>
      <c r="D41" s="14">
        <v>8</v>
      </c>
      <c r="E41" s="14">
        <v>2018</v>
      </c>
      <c r="F41" s="14" t="s">
        <v>35</v>
      </c>
      <c r="G41" s="14">
        <v>1016</v>
      </c>
      <c r="H41" s="15" t="s">
        <v>11</v>
      </c>
      <c r="I41" s="22">
        <v>1249.99</v>
      </c>
      <c r="J41" s="14">
        <v>7</v>
      </c>
      <c r="K41" s="23">
        <v>8749.93</v>
      </c>
    </row>
    <row r="42" spans="3:11" outlineLevel="1" x14ac:dyDescent="0.25">
      <c r="C42" s="18"/>
      <c r="D42" s="14"/>
      <c r="E42" s="14"/>
      <c r="F42" s="14"/>
      <c r="G42" s="14"/>
      <c r="H42" s="55" t="s">
        <v>76</v>
      </c>
      <c r="I42" s="22"/>
      <c r="J42" s="14">
        <f>SUBTOTAL(9,J34:J41)</f>
        <v>384</v>
      </c>
      <c r="K42" s="23">
        <f>SUBTOTAL(9,K34:K41)</f>
        <v>479996.15999999997</v>
      </c>
    </row>
    <row r="43" spans="3:11" outlineLevel="2" x14ac:dyDescent="0.25">
      <c r="C43" s="18">
        <v>43108</v>
      </c>
      <c r="D43" s="14">
        <v>1</v>
      </c>
      <c r="E43" s="14">
        <v>2018</v>
      </c>
      <c r="F43" s="14" t="s">
        <v>35</v>
      </c>
      <c r="G43" s="14">
        <v>1014</v>
      </c>
      <c r="H43" s="15" t="s">
        <v>9</v>
      </c>
      <c r="I43" s="22">
        <v>35</v>
      </c>
      <c r="J43" s="14">
        <v>6</v>
      </c>
      <c r="K43" s="23">
        <v>210</v>
      </c>
    </row>
    <row r="44" spans="3:11" outlineLevel="2" x14ac:dyDescent="0.25">
      <c r="C44" s="18">
        <v>43471</v>
      </c>
      <c r="D44" s="14">
        <v>1</v>
      </c>
      <c r="E44" s="14">
        <v>2019</v>
      </c>
      <c r="F44" s="14" t="s">
        <v>35</v>
      </c>
      <c r="G44" s="14">
        <v>1014</v>
      </c>
      <c r="H44" s="15" t="s">
        <v>9</v>
      </c>
      <c r="I44" s="22">
        <v>35</v>
      </c>
      <c r="J44" s="14">
        <v>28</v>
      </c>
      <c r="K44" s="23">
        <v>980</v>
      </c>
    </row>
    <row r="45" spans="3:11" outlineLevel="2" x14ac:dyDescent="0.25">
      <c r="C45" s="18">
        <v>43487</v>
      </c>
      <c r="D45" s="14">
        <v>1</v>
      </c>
      <c r="E45" s="14">
        <v>2019</v>
      </c>
      <c r="F45" s="14" t="s">
        <v>35</v>
      </c>
      <c r="G45" s="14">
        <v>1014</v>
      </c>
      <c r="H45" s="15" t="s">
        <v>9</v>
      </c>
      <c r="I45" s="22">
        <v>35</v>
      </c>
      <c r="J45" s="14">
        <v>28</v>
      </c>
      <c r="K45" s="23">
        <v>980</v>
      </c>
    </row>
    <row r="46" spans="3:11" outlineLevel="2" x14ac:dyDescent="0.25">
      <c r="C46" s="18">
        <v>43483</v>
      </c>
      <c r="D46" s="14">
        <v>1</v>
      </c>
      <c r="E46" s="14">
        <v>2019</v>
      </c>
      <c r="F46" s="14" t="s">
        <v>24</v>
      </c>
      <c r="G46" s="14">
        <v>1014</v>
      </c>
      <c r="H46" s="15" t="s">
        <v>9</v>
      </c>
      <c r="I46" s="22">
        <v>35</v>
      </c>
      <c r="J46" s="14">
        <v>100</v>
      </c>
      <c r="K46" s="23">
        <v>3500</v>
      </c>
    </row>
    <row r="47" spans="3:11" outlineLevel="2" x14ac:dyDescent="0.25">
      <c r="C47" s="18">
        <v>43136</v>
      </c>
      <c r="D47" s="14">
        <v>2</v>
      </c>
      <c r="E47" s="14">
        <v>2018</v>
      </c>
      <c r="F47" s="14" t="s">
        <v>35</v>
      </c>
      <c r="G47" s="14">
        <v>1014</v>
      </c>
      <c r="H47" s="15" t="s">
        <v>9</v>
      </c>
      <c r="I47" s="22">
        <v>35</v>
      </c>
      <c r="J47" s="14">
        <v>12</v>
      </c>
      <c r="K47" s="23">
        <v>420</v>
      </c>
    </row>
    <row r="48" spans="3:11" outlineLevel="2" x14ac:dyDescent="0.25">
      <c r="C48" s="18">
        <v>43226</v>
      </c>
      <c r="D48" s="14">
        <v>5</v>
      </c>
      <c r="E48" s="14">
        <v>2018</v>
      </c>
      <c r="F48" s="14" t="s">
        <v>35</v>
      </c>
      <c r="G48" s="14">
        <v>1014</v>
      </c>
      <c r="H48" s="15" t="s">
        <v>9</v>
      </c>
      <c r="I48" s="22">
        <v>35</v>
      </c>
      <c r="J48" s="14">
        <v>8</v>
      </c>
      <c r="K48" s="23">
        <v>280</v>
      </c>
    </row>
    <row r="49" spans="3:11" outlineLevel="1" x14ac:dyDescent="0.25">
      <c r="C49" s="18"/>
      <c r="D49" s="14"/>
      <c r="E49" s="14"/>
      <c r="F49" s="14"/>
      <c r="G49" s="14"/>
      <c r="H49" s="55" t="s">
        <v>77</v>
      </c>
      <c r="I49" s="22"/>
      <c r="J49" s="14">
        <f>SUBTOTAL(9,J43:J48)</f>
        <v>182</v>
      </c>
      <c r="K49" s="23">
        <f>SUBTOTAL(9,K43:K48)</f>
        <v>6370</v>
      </c>
    </row>
    <row r="50" spans="3:11" outlineLevel="2" x14ac:dyDescent="0.25">
      <c r="C50" s="18">
        <v>43483</v>
      </c>
      <c r="D50" s="14">
        <v>1</v>
      </c>
      <c r="E50" s="14">
        <v>2019</v>
      </c>
      <c r="F50" s="14" t="s">
        <v>24</v>
      </c>
      <c r="G50" s="14">
        <v>1017</v>
      </c>
      <c r="H50" s="15" t="s">
        <v>12</v>
      </c>
      <c r="I50" s="22">
        <v>879.99</v>
      </c>
      <c r="J50" s="14">
        <v>100</v>
      </c>
      <c r="K50" s="23">
        <v>87999</v>
      </c>
    </row>
    <row r="51" spans="3:11" outlineLevel="2" x14ac:dyDescent="0.25">
      <c r="C51" s="18">
        <v>43165</v>
      </c>
      <c r="D51" s="14">
        <v>3</v>
      </c>
      <c r="E51" s="14">
        <v>2018</v>
      </c>
      <c r="F51" s="14" t="s">
        <v>35</v>
      </c>
      <c r="G51" s="14">
        <v>1017</v>
      </c>
      <c r="H51" s="15" t="s">
        <v>12</v>
      </c>
      <c r="I51" s="22">
        <v>879.99</v>
      </c>
      <c r="J51" s="14">
        <v>8</v>
      </c>
      <c r="K51" s="23">
        <v>7039.92</v>
      </c>
    </row>
    <row r="52" spans="3:11" outlineLevel="2" x14ac:dyDescent="0.25">
      <c r="C52" s="18">
        <v>43236</v>
      </c>
      <c r="D52" s="14">
        <v>5</v>
      </c>
      <c r="E52" s="14">
        <v>2018</v>
      </c>
      <c r="F52" s="14" t="s">
        <v>35</v>
      </c>
      <c r="G52" s="14">
        <v>1017</v>
      </c>
      <c r="H52" s="15" t="s">
        <v>12</v>
      </c>
      <c r="I52" s="22">
        <v>879.99</v>
      </c>
      <c r="J52" s="14">
        <v>20</v>
      </c>
      <c r="K52" s="23">
        <v>17599.8</v>
      </c>
    </row>
    <row r="53" spans="3:11" outlineLevel="2" x14ac:dyDescent="0.25">
      <c r="C53" s="18">
        <v>43266</v>
      </c>
      <c r="D53" s="14">
        <v>6</v>
      </c>
      <c r="E53" s="14">
        <v>2018</v>
      </c>
      <c r="F53" s="14" t="s">
        <v>35</v>
      </c>
      <c r="G53" s="14">
        <v>1017</v>
      </c>
      <c r="H53" s="15" t="s">
        <v>12</v>
      </c>
      <c r="I53" s="22">
        <v>879.99</v>
      </c>
      <c r="J53" s="14">
        <v>25</v>
      </c>
      <c r="K53" s="23">
        <v>21999.75</v>
      </c>
    </row>
    <row r="54" spans="3:11" outlineLevel="2" x14ac:dyDescent="0.25">
      <c r="C54" s="18">
        <v>43320</v>
      </c>
      <c r="D54" s="14">
        <v>8</v>
      </c>
      <c r="E54" s="14">
        <v>2018</v>
      </c>
      <c r="F54" s="14" t="s">
        <v>35</v>
      </c>
      <c r="G54" s="14">
        <v>1017</v>
      </c>
      <c r="H54" s="15" t="s">
        <v>12</v>
      </c>
      <c r="I54" s="22">
        <v>879.99</v>
      </c>
      <c r="J54" s="14">
        <v>8</v>
      </c>
      <c r="K54" s="23">
        <v>7039.92</v>
      </c>
    </row>
    <row r="55" spans="3:11" outlineLevel="2" x14ac:dyDescent="0.25">
      <c r="C55" s="18">
        <v>43321</v>
      </c>
      <c r="D55" s="14">
        <v>8</v>
      </c>
      <c r="E55" s="14">
        <v>2018</v>
      </c>
      <c r="F55" s="14" t="s">
        <v>35</v>
      </c>
      <c r="G55" s="14">
        <v>1017</v>
      </c>
      <c r="H55" s="15" t="s">
        <v>12</v>
      </c>
      <c r="I55" s="22">
        <v>879.99</v>
      </c>
      <c r="J55" s="14">
        <v>11</v>
      </c>
      <c r="K55" s="23">
        <v>9679.89</v>
      </c>
    </row>
    <row r="56" spans="3:11" outlineLevel="2" x14ac:dyDescent="0.25">
      <c r="C56" s="18">
        <v>43318</v>
      </c>
      <c r="D56" s="14">
        <v>8</v>
      </c>
      <c r="E56" s="14">
        <v>2018</v>
      </c>
      <c r="F56" s="14" t="s">
        <v>35</v>
      </c>
      <c r="G56" s="14">
        <v>1017</v>
      </c>
      <c r="H56" s="15" t="s">
        <v>12</v>
      </c>
      <c r="I56" s="22">
        <v>879.99</v>
      </c>
      <c r="J56" s="14">
        <v>13</v>
      </c>
      <c r="K56" s="23">
        <v>11439.87</v>
      </c>
    </row>
    <row r="57" spans="3:11" outlineLevel="1" x14ac:dyDescent="0.25">
      <c r="C57" s="51"/>
      <c r="D57" s="39"/>
      <c r="E57" s="39"/>
      <c r="F57" s="39"/>
      <c r="G57" s="39"/>
      <c r="H57" s="56" t="s">
        <v>78</v>
      </c>
      <c r="I57" s="52"/>
      <c r="J57" s="39">
        <f>SUBTOTAL(9,J50:J56)</f>
        <v>185</v>
      </c>
      <c r="K57" s="53">
        <f>SUBTOTAL(9,K50:K56)</f>
        <v>162798.15000000002</v>
      </c>
    </row>
    <row r="58" spans="3:11" x14ac:dyDescent="0.25">
      <c r="C58" s="51"/>
      <c r="D58" s="39"/>
      <c r="E58" s="39"/>
      <c r="F58" s="39"/>
      <c r="G58" s="39"/>
      <c r="H58" s="56" t="s">
        <v>62</v>
      </c>
      <c r="I58" s="52"/>
      <c r="J58" s="39"/>
      <c r="K58" s="53"/>
    </row>
  </sheetData>
  <sortState ref="C5:K56">
    <sortCondition ref="H5:H56"/>
    <sortCondition ref="D5:D56"/>
    <sortCondition ref="E5:E56"/>
  </sortState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27222-E947-4A23-A825-FF370F507B05}">
  <sheetPr codeName="Planilha15"/>
  <dimension ref="C4:K49"/>
  <sheetViews>
    <sheetView topLeftCell="C1" zoomScaleNormal="100" workbookViewId="0">
      <pane xSplit="2" ySplit="4" topLeftCell="E5" activePane="bottomRight" state="frozen"/>
      <selection activeCell="C1" sqref="C1"/>
      <selection pane="topRight" activeCell="E1" sqref="E1"/>
      <selection pane="bottomLeft" activeCell="C5" sqref="C5"/>
      <selection pane="bottomRight" activeCell="J14" sqref="J14"/>
    </sheetView>
  </sheetViews>
  <sheetFormatPr defaultRowHeight="15" x14ac:dyDescent="0.25"/>
  <cols>
    <col min="3" max="3" width="20.85546875" customWidth="1"/>
    <col min="4" max="4" width="7.5703125" customWidth="1"/>
    <col min="5" max="5" width="10.140625" customWidth="1"/>
    <col min="6" max="6" width="10" customWidth="1"/>
    <col min="7" max="7" width="8.140625" bestFit="1" customWidth="1"/>
    <col min="8" max="8" width="36" customWidth="1"/>
    <col min="9" max="9" width="10.7109375" bestFit="1" customWidth="1"/>
    <col min="10" max="10" width="12.85546875" bestFit="1" customWidth="1"/>
    <col min="11" max="11" width="19" customWidth="1"/>
  </cols>
  <sheetData>
    <row r="4" spans="3:11" x14ac:dyDescent="0.25">
      <c r="C4" s="24" t="s">
        <v>26</v>
      </c>
      <c r="D4" s="24" t="s">
        <v>27</v>
      </c>
      <c r="E4" s="24" t="s">
        <v>28</v>
      </c>
      <c r="F4" s="24" t="s">
        <v>23</v>
      </c>
      <c r="G4" s="24" t="s">
        <v>3</v>
      </c>
      <c r="H4" s="24" t="s">
        <v>4</v>
      </c>
      <c r="I4" s="47" t="s">
        <v>5</v>
      </c>
      <c r="J4" s="47" t="s">
        <v>25</v>
      </c>
      <c r="K4" s="47" t="s">
        <v>29</v>
      </c>
    </row>
    <row r="5" spans="3:11" x14ac:dyDescent="0.25">
      <c r="C5" s="18">
        <v>43101</v>
      </c>
      <c r="D5" s="14">
        <v>1</v>
      </c>
      <c r="E5" s="14">
        <v>2018</v>
      </c>
      <c r="F5" s="14" t="s">
        <v>35</v>
      </c>
      <c r="G5" s="14">
        <v>1011</v>
      </c>
      <c r="H5" s="15" t="s">
        <v>6</v>
      </c>
      <c r="I5" s="22">
        <v>1669</v>
      </c>
      <c r="J5" s="14">
        <v>20</v>
      </c>
      <c r="K5" s="23">
        <v>33380</v>
      </c>
    </row>
    <row r="6" spans="3:11" x14ac:dyDescent="0.25">
      <c r="C6" s="18">
        <v>43115</v>
      </c>
      <c r="D6" s="14">
        <v>1</v>
      </c>
      <c r="E6" s="14">
        <v>2018</v>
      </c>
      <c r="F6" s="14" t="s">
        <v>35</v>
      </c>
      <c r="G6" s="14">
        <v>1011</v>
      </c>
      <c r="H6" s="15" t="s">
        <v>6</v>
      </c>
      <c r="I6" s="22">
        <v>1669</v>
      </c>
      <c r="J6" s="14">
        <v>10</v>
      </c>
      <c r="K6" s="23">
        <v>16690</v>
      </c>
    </row>
    <row r="7" spans="3:11" x14ac:dyDescent="0.25">
      <c r="C7" s="18">
        <v>43108</v>
      </c>
      <c r="D7" s="14">
        <v>1</v>
      </c>
      <c r="E7" s="14">
        <v>2018</v>
      </c>
      <c r="F7" s="14" t="s">
        <v>35</v>
      </c>
      <c r="G7" s="14">
        <v>1014</v>
      </c>
      <c r="H7" s="15" t="s">
        <v>9</v>
      </c>
      <c r="I7" s="22">
        <v>35</v>
      </c>
      <c r="J7" s="14">
        <v>6</v>
      </c>
      <c r="K7" s="23">
        <v>210</v>
      </c>
    </row>
    <row r="8" spans="3:11" x14ac:dyDescent="0.25">
      <c r="C8" s="18">
        <v>43132</v>
      </c>
      <c r="D8" s="14">
        <v>2</v>
      </c>
      <c r="E8" s="14">
        <v>2018</v>
      </c>
      <c r="F8" s="14" t="s">
        <v>35</v>
      </c>
      <c r="G8" s="14">
        <v>1011</v>
      </c>
      <c r="H8" s="15" t="s">
        <v>6</v>
      </c>
      <c r="I8" s="22">
        <v>1669</v>
      </c>
      <c r="J8" s="14">
        <v>6</v>
      </c>
      <c r="K8" s="23">
        <v>10014</v>
      </c>
    </row>
    <row r="9" spans="3:11" x14ac:dyDescent="0.25">
      <c r="C9" s="18">
        <v>43136</v>
      </c>
      <c r="D9" s="14">
        <v>2</v>
      </c>
      <c r="E9" s="14">
        <v>2018</v>
      </c>
      <c r="F9" s="14" t="s">
        <v>35</v>
      </c>
      <c r="G9" s="14">
        <v>1014</v>
      </c>
      <c r="H9" s="15" t="s">
        <v>9</v>
      </c>
      <c r="I9" s="22">
        <v>35</v>
      </c>
      <c r="J9" s="14">
        <v>12</v>
      </c>
      <c r="K9" s="23">
        <v>420</v>
      </c>
    </row>
    <row r="10" spans="3:11" x14ac:dyDescent="0.25">
      <c r="C10" s="18">
        <v>43165</v>
      </c>
      <c r="D10" s="14">
        <v>3</v>
      </c>
      <c r="E10" s="14">
        <v>2018</v>
      </c>
      <c r="F10" s="14" t="s">
        <v>35</v>
      </c>
      <c r="G10" s="14">
        <v>1017</v>
      </c>
      <c r="H10" s="15" t="s">
        <v>12</v>
      </c>
      <c r="I10" s="22">
        <v>879.99</v>
      </c>
      <c r="J10" s="14">
        <v>8</v>
      </c>
      <c r="K10" s="23">
        <v>7039.92</v>
      </c>
    </row>
    <row r="11" spans="3:11" x14ac:dyDescent="0.25">
      <c r="C11" s="18">
        <v>43195</v>
      </c>
      <c r="D11" s="14">
        <v>4</v>
      </c>
      <c r="E11" s="14">
        <v>2018</v>
      </c>
      <c r="F11" s="14" t="s">
        <v>35</v>
      </c>
      <c r="G11" s="14">
        <v>1018</v>
      </c>
      <c r="H11" s="15" t="s">
        <v>13</v>
      </c>
      <c r="I11" s="22">
        <v>2200.9899999999998</v>
      </c>
      <c r="J11" s="14">
        <v>12</v>
      </c>
      <c r="K11" s="23">
        <v>26411.879999999997</v>
      </c>
    </row>
    <row r="12" spans="3:11" x14ac:dyDescent="0.25">
      <c r="C12" s="18">
        <v>43226</v>
      </c>
      <c r="D12" s="14">
        <v>5</v>
      </c>
      <c r="E12" s="14">
        <v>2018</v>
      </c>
      <c r="F12" s="14" t="s">
        <v>35</v>
      </c>
      <c r="G12" s="14">
        <v>1014</v>
      </c>
      <c r="H12" s="15" t="s">
        <v>9</v>
      </c>
      <c r="I12" s="22">
        <v>35</v>
      </c>
      <c r="J12" s="14">
        <v>8</v>
      </c>
      <c r="K12" s="23">
        <v>280</v>
      </c>
    </row>
    <row r="13" spans="3:11" x14ac:dyDescent="0.25">
      <c r="C13" s="18">
        <v>43236</v>
      </c>
      <c r="D13" s="14">
        <v>5</v>
      </c>
      <c r="E13" s="14">
        <v>2018</v>
      </c>
      <c r="F13" s="14" t="s">
        <v>35</v>
      </c>
      <c r="G13" s="14">
        <v>1017</v>
      </c>
      <c r="H13" s="15" t="s">
        <v>12</v>
      </c>
      <c r="I13" s="22">
        <v>879.99</v>
      </c>
      <c r="J13" s="14">
        <v>20</v>
      </c>
      <c r="K13" s="23">
        <v>17599.8</v>
      </c>
    </row>
    <row r="14" spans="3:11" x14ac:dyDescent="0.25">
      <c r="C14" s="18">
        <v>43263</v>
      </c>
      <c r="D14" s="14">
        <v>6</v>
      </c>
      <c r="E14" s="14">
        <v>2018</v>
      </c>
      <c r="F14" s="14" t="s">
        <v>35</v>
      </c>
      <c r="G14" s="14">
        <v>1012</v>
      </c>
      <c r="H14" s="15" t="s">
        <v>7</v>
      </c>
      <c r="I14" s="22">
        <v>1350</v>
      </c>
      <c r="J14" s="14">
        <v>25</v>
      </c>
      <c r="K14" s="23">
        <v>33750</v>
      </c>
    </row>
    <row r="15" spans="3:11" x14ac:dyDescent="0.25">
      <c r="C15" s="18">
        <v>43257</v>
      </c>
      <c r="D15" s="14">
        <v>6</v>
      </c>
      <c r="E15" s="14">
        <v>2018</v>
      </c>
      <c r="F15" s="14" t="s">
        <v>35</v>
      </c>
      <c r="G15" s="14">
        <v>1015</v>
      </c>
      <c r="H15" s="15" t="s">
        <v>10</v>
      </c>
      <c r="I15" s="22">
        <v>20</v>
      </c>
      <c r="J15" s="14">
        <v>20</v>
      </c>
      <c r="K15" s="23">
        <v>400</v>
      </c>
    </row>
    <row r="16" spans="3:11" x14ac:dyDescent="0.25">
      <c r="C16" s="18">
        <v>43263</v>
      </c>
      <c r="D16" s="14">
        <v>6</v>
      </c>
      <c r="E16" s="14">
        <v>2018</v>
      </c>
      <c r="F16" s="14" t="s">
        <v>35</v>
      </c>
      <c r="G16" s="14">
        <v>1016</v>
      </c>
      <c r="H16" s="15" t="s">
        <v>11</v>
      </c>
      <c r="I16" s="22">
        <v>1249.99</v>
      </c>
      <c r="J16" s="14">
        <v>15</v>
      </c>
      <c r="K16" s="23">
        <v>18749.849999999999</v>
      </c>
    </row>
    <row r="17" spans="3:11" x14ac:dyDescent="0.25">
      <c r="C17" s="18">
        <v>43257</v>
      </c>
      <c r="D17" s="14">
        <v>6</v>
      </c>
      <c r="E17" s="14">
        <v>2018</v>
      </c>
      <c r="F17" s="14" t="s">
        <v>35</v>
      </c>
      <c r="G17" s="14">
        <v>1016</v>
      </c>
      <c r="H17" s="15" t="s">
        <v>11</v>
      </c>
      <c r="I17" s="22">
        <v>1249.99</v>
      </c>
      <c r="J17" s="14">
        <v>20</v>
      </c>
      <c r="K17" s="23">
        <v>24999.8</v>
      </c>
    </row>
    <row r="18" spans="3:11" x14ac:dyDescent="0.25">
      <c r="C18" s="18">
        <v>43266</v>
      </c>
      <c r="D18" s="14">
        <v>6</v>
      </c>
      <c r="E18" s="14">
        <v>2018</v>
      </c>
      <c r="F18" s="14" t="s">
        <v>35</v>
      </c>
      <c r="G18" s="14">
        <v>1017</v>
      </c>
      <c r="H18" s="15" t="s">
        <v>12</v>
      </c>
      <c r="I18" s="22">
        <v>879.99</v>
      </c>
      <c r="J18" s="14">
        <v>25</v>
      </c>
      <c r="K18" s="23">
        <v>21999.75</v>
      </c>
    </row>
    <row r="19" spans="3:11" x14ac:dyDescent="0.25">
      <c r="C19" s="18">
        <v>43283</v>
      </c>
      <c r="D19" s="14">
        <v>7</v>
      </c>
      <c r="E19" s="14">
        <v>2018</v>
      </c>
      <c r="F19" s="14" t="s">
        <v>35</v>
      </c>
      <c r="G19" s="14">
        <v>1018</v>
      </c>
      <c r="H19" s="15" t="s">
        <v>13</v>
      </c>
      <c r="I19" s="22">
        <v>2200.9899999999998</v>
      </c>
      <c r="J19" s="14">
        <v>15</v>
      </c>
      <c r="K19" s="23">
        <v>33014.85</v>
      </c>
    </row>
    <row r="20" spans="3:11" x14ac:dyDescent="0.25">
      <c r="C20" s="18">
        <v>43296</v>
      </c>
      <c r="D20" s="14">
        <v>7</v>
      </c>
      <c r="E20" s="14">
        <v>2018</v>
      </c>
      <c r="F20" s="14" t="s">
        <v>35</v>
      </c>
      <c r="G20" s="14">
        <v>1018</v>
      </c>
      <c r="H20" s="15" t="s">
        <v>13</v>
      </c>
      <c r="I20" s="22">
        <v>2200.9899999999998</v>
      </c>
      <c r="J20" s="14">
        <v>20</v>
      </c>
      <c r="K20" s="23">
        <v>44019.799999999996</v>
      </c>
    </row>
    <row r="21" spans="3:11" x14ac:dyDescent="0.25">
      <c r="C21" s="18">
        <v>43302</v>
      </c>
      <c r="D21" s="14">
        <v>7</v>
      </c>
      <c r="E21" s="14">
        <v>2018</v>
      </c>
      <c r="F21" s="14" t="s">
        <v>35</v>
      </c>
      <c r="G21" s="14">
        <v>1015</v>
      </c>
      <c r="H21" s="15" t="s">
        <v>10</v>
      </c>
      <c r="I21" s="22">
        <v>20</v>
      </c>
      <c r="J21" s="14">
        <v>18</v>
      </c>
      <c r="K21" s="23">
        <v>360</v>
      </c>
    </row>
    <row r="22" spans="3:11" x14ac:dyDescent="0.25">
      <c r="C22" s="18">
        <v>43293</v>
      </c>
      <c r="D22" s="14">
        <v>7</v>
      </c>
      <c r="E22" s="14">
        <v>2018</v>
      </c>
      <c r="F22" s="14" t="s">
        <v>35</v>
      </c>
      <c r="G22" s="14">
        <v>1016</v>
      </c>
      <c r="H22" s="15" t="s">
        <v>11</v>
      </c>
      <c r="I22" s="22">
        <v>1249.99</v>
      </c>
      <c r="J22" s="14">
        <v>7</v>
      </c>
      <c r="K22" s="23">
        <v>8749.93</v>
      </c>
    </row>
    <row r="23" spans="3:11" x14ac:dyDescent="0.25">
      <c r="C23" s="18">
        <v>43286</v>
      </c>
      <c r="D23" s="14">
        <v>7</v>
      </c>
      <c r="E23" s="14">
        <v>2018</v>
      </c>
      <c r="F23" s="14" t="s">
        <v>35</v>
      </c>
      <c r="G23" s="14">
        <v>1016</v>
      </c>
      <c r="H23" s="15" t="s">
        <v>11</v>
      </c>
      <c r="I23" s="22">
        <v>1249.99</v>
      </c>
      <c r="J23" s="14">
        <v>17</v>
      </c>
      <c r="K23" s="23">
        <v>21249.83</v>
      </c>
    </row>
    <row r="24" spans="3:11" x14ac:dyDescent="0.25">
      <c r="C24" s="18">
        <v>43324</v>
      </c>
      <c r="D24" s="14">
        <v>8</v>
      </c>
      <c r="E24" s="14">
        <v>2018</v>
      </c>
      <c r="F24" s="14" t="s">
        <v>35</v>
      </c>
      <c r="G24" s="14">
        <v>1018</v>
      </c>
      <c r="H24" s="15" t="s">
        <v>13</v>
      </c>
      <c r="I24" s="22">
        <v>2200.9899999999998</v>
      </c>
      <c r="J24" s="14">
        <v>9</v>
      </c>
      <c r="K24" s="23">
        <v>19808.909999999996</v>
      </c>
    </row>
    <row r="25" spans="3:11" x14ac:dyDescent="0.25">
      <c r="C25" s="18">
        <v>43337</v>
      </c>
      <c r="D25" s="14">
        <v>8</v>
      </c>
      <c r="E25" s="14">
        <v>2018</v>
      </c>
      <c r="F25" s="14" t="s">
        <v>35</v>
      </c>
      <c r="G25" s="14">
        <v>1016</v>
      </c>
      <c r="H25" s="15" t="s">
        <v>11</v>
      </c>
      <c r="I25" s="22">
        <v>1249.99</v>
      </c>
      <c r="J25" s="14">
        <v>7</v>
      </c>
      <c r="K25" s="23">
        <v>8749.93</v>
      </c>
    </row>
    <row r="26" spans="3:11" x14ac:dyDescent="0.25">
      <c r="C26" s="18">
        <v>43320</v>
      </c>
      <c r="D26" s="14">
        <v>8</v>
      </c>
      <c r="E26" s="14">
        <v>2018</v>
      </c>
      <c r="F26" s="14" t="s">
        <v>35</v>
      </c>
      <c r="G26" s="14">
        <v>1017</v>
      </c>
      <c r="H26" s="15" t="s">
        <v>12</v>
      </c>
      <c r="I26" s="22">
        <v>879.99</v>
      </c>
      <c r="J26" s="14">
        <v>8</v>
      </c>
      <c r="K26" s="23">
        <v>7039.92</v>
      </c>
    </row>
    <row r="27" spans="3:11" x14ac:dyDescent="0.25">
      <c r="C27" s="18">
        <v>43321</v>
      </c>
      <c r="D27" s="14">
        <v>8</v>
      </c>
      <c r="E27" s="14">
        <v>2018</v>
      </c>
      <c r="F27" s="14" t="s">
        <v>35</v>
      </c>
      <c r="G27" s="14">
        <v>1017</v>
      </c>
      <c r="H27" s="15" t="s">
        <v>12</v>
      </c>
      <c r="I27" s="22">
        <v>879.99</v>
      </c>
      <c r="J27" s="14">
        <v>11</v>
      </c>
      <c r="K27" s="23">
        <v>9679.89</v>
      </c>
    </row>
    <row r="28" spans="3:11" x14ac:dyDescent="0.25">
      <c r="C28" s="18">
        <v>43318</v>
      </c>
      <c r="D28" s="14">
        <v>8</v>
      </c>
      <c r="E28" s="14">
        <v>2018</v>
      </c>
      <c r="F28" s="14" t="s">
        <v>35</v>
      </c>
      <c r="G28" s="14">
        <v>1017</v>
      </c>
      <c r="H28" s="15" t="s">
        <v>12</v>
      </c>
      <c r="I28" s="22">
        <v>879.99</v>
      </c>
      <c r="J28" s="14">
        <v>13</v>
      </c>
      <c r="K28" s="23">
        <v>11439.87</v>
      </c>
    </row>
    <row r="29" spans="3:11" x14ac:dyDescent="0.25">
      <c r="C29" s="18">
        <v>43483</v>
      </c>
      <c r="D29" s="14">
        <v>1</v>
      </c>
      <c r="E29" s="14">
        <v>2019</v>
      </c>
      <c r="F29" s="14" t="s">
        <v>24</v>
      </c>
      <c r="G29" s="14">
        <v>1012</v>
      </c>
      <c r="H29" s="15" t="s">
        <v>7</v>
      </c>
      <c r="I29" s="22">
        <v>1350</v>
      </c>
      <c r="J29" s="14">
        <v>100</v>
      </c>
      <c r="K29" s="23">
        <v>135000</v>
      </c>
    </row>
    <row r="30" spans="3:11" x14ac:dyDescent="0.25">
      <c r="C30" s="18">
        <v>43483</v>
      </c>
      <c r="D30" s="14">
        <v>1</v>
      </c>
      <c r="E30" s="14">
        <v>2019</v>
      </c>
      <c r="F30" s="14" t="s">
        <v>24</v>
      </c>
      <c r="G30" s="14">
        <v>1011</v>
      </c>
      <c r="H30" s="15" t="s">
        <v>6</v>
      </c>
      <c r="I30" s="22">
        <v>1669</v>
      </c>
      <c r="J30" s="14">
        <v>100</v>
      </c>
      <c r="K30" s="23">
        <v>166900</v>
      </c>
    </row>
    <row r="31" spans="3:11" x14ac:dyDescent="0.25">
      <c r="C31" s="18">
        <v>43483</v>
      </c>
      <c r="D31" s="14">
        <v>1</v>
      </c>
      <c r="E31" s="14">
        <v>2019</v>
      </c>
      <c r="F31" s="14" t="s">
        <v>24</v>
      </c>
      <c r="G31" s="14">
        <v>1018</v>
      </c>
      <c r="H31" s="15" t="s">
        <v>13</v>
      </c>
      <c r="I31" s="22">
        <v>2200.9899999999998</v>
      </c>
      <c r="J31" s="14">
        <v>150</v>
      </c>
      <c r="K31" s="23">
        <v>330148.49999999994</v>
      </c>
    </row>
    <row r="32" spans="3:11" x14ac:dyDescent="0.25">
      <c r="C32" s="18">
        <v>43483</v>
      </c>
      <c r="D32" s="14">
        <v>1</v>
      </c>
      <c r="E32" s="14">
        <v>2019</v>
      </c>
      <c r="F32" s="14" t="s">
        <v>24</v>
      </c>
      <c r="G32" s="14">
        <v>1018</v>
      </c>
      <c r="H32" s="15" t="s">
        <v>13</v>
      </c>
      <c r="I32" s="22">
        <v>2200.9899999999998</v>
      </c>
      <c r="J32" s="14">
        <v>100</v>
      </c>
      <c r="K32" s="23">
        <v>220098.99999999997</v>
      </c>
    </row>
    <row r="33" spans="3:11" x14ac:dyDescent="0.25">
      <c r="C33" s="18">
        <v>43486</v>
      </c>
      <c r="D33" s="14">
        <v>1</v>
      </c>
      <c r="E33" s="14">
        <v>2019</v>
      </c>
      <c r="F33" s="14" t="s">
        <v>24</v>
      </c>
      <c r="G33" s="14">
        <v>1013</v>
      </c>
      <c r="H33" s="15" t="s">
        <v>8</v>
      </c>
      <c r="I33" s="22">
        <v>750</v>
      </c>
      <c r="J33" s="14">
        <v>200</v>
      </c>
      <c r="K33" s="23">
        <v>150000</v>
      </c>
    </row>
    <row r="34" spans="3:11" x14ac:dyDescent="0.25">
      <c r="C34" s="18">
        <v>43483</v>
      </c>
      <c r="D34" s="14">
        <v>1</v>
      </c>
      <c r="E34" s="14">
        <v>2019</v>
      </c>
      <c r="F34" s="14" t="s">
        <v>24</v>
      </c>
      <c r="G34" s="14">
        <v>1013</v>
      </c>
      <c r="H34" s="15" t="s">
        <v>8</v>
      </c>
      <c r="I34" s="22">
        <v>750</v>
      </c>
      <c r="J34" s="14">
        <v>100</v>
      </c>
      <c r="K34" s="23">
        <v>75000</v>
      </c>
    </row>
    <row r="35" spans="3:11" x14ac:dyDescent="0.25">
      <c r="C35" s="18">
        <v>43483</v>
      </c>
      <c r="D35" s="14">
        <v>1</v>
      </c>
      <c r="E35" s="14">
        <v>2019</v>
      </c>
      <c r="F35" s="14" t="s">
        <v>24</v>
      </c>
      <c r="G35" s="14">
        <v>1015</v>
      </c>
      <c r="H35" s="15" t="s">
        <v>10</v>
      </c>
      <c r="I35" s="22">
        <v>20</v>
      </c>
      <c r="J35" s="14">
        <v>100</v>
      </c>
      <c r="K35" s="23">
        <v>2000</v>
      </c>
    </row>
    <row r="36" spans="3:11" x14ac:dyDescent="0.25">
      <c r="C36" s="18">
        <v>43486</v>
      </c>
      <c r="D36" s="14">
        <v>1</v>
      </c>
      <c r="E36" s="14">
        <v>2019</v>
      </c>
      <c r="F36" s="14" t="s">
        <v>24</v>
      </c>
      <c r="G36" s="14">
        <v>1016</v>
      </c>
      <c r="H36" s="15" t="s">
        <v>11</v>
      </c>
      <c r="I36" s="22">
        <v>1249.99</v>
      </c>
      <c r="J36" s="14">
        <v>200</v>
      </c>
      <c r="K36" s="23">
        <v>249998</v>
      </c>
    </row>
    <row r="37" spans="3:11" x14ac:dyDescent="0.25">
      <c r="C37" s="18">
        <v>43483</v>
      </c>
      <c r="D37" s="14">
        <v>1</v>
      </c>
      <c r="E37" s="14">
        <v>2019</v>
      </c>
      <c r="F37" s="14" t="s">
        <v>24</v>
      </c>
      <c r="G37" s="14">
        <v>1016</v>
      </c>
      <c r="H37" s="15" t="s">
        <v>11</v>
      </c>
      <c r="I37" s="22">
        <v>1249.99</v>
      </c>
      <c r="J37" s="14">
        <v>100</v>
      </c>
      <c r="K37" s="23">
        <v>124999</v>
      </c>
    </row>
    <row r="38" spans="3:11" x14ac:dyDescent="0.25">
      <c r="C38" s="18">
        <v>43483</v>
      </c>
      <c r="D38" s="14">
        <v>1</v>
      </c>
      <c r="E38" s="14">
        <v>2019</v>
      </c>
      <c r="F38" s="14" t="s">
        <v>24</v>
      </c>
      <c r="G38" s="14">
        <v>1014</v>
      </c>
      <c r="H38" s="15" t="s">
        <v>9</v>
      </c>
      <c r="I38" s="22">
        <v>35</v>
      </c>
      <c r="J38" s="14">
        <v>100</v>
      </c>
      <c r="K38" s="23">
        <v>3500</v>
      </c>
    </row>
    <row r="39" spans="3:11" x14ac:dyDescent="0.25">
      <c r="C39" s="18">
        <v>43483</v>
      </c>
      <c r="D39" s="14">
        <v>1</v>
      </c>
      <c r="E39" s="14">
        <v>2019</v>
      </c>
      <c r="F39" s="14" t="s">
        <v>24</v>
      </c>
      <c r="G39" s="14">
        <v>1017</v>
      </c>
      <c r="H39" s="15" t="s">
        <v>12</v>
      </c>
      <c r="I39" s="22">
        <v>879.99</v>
      </c>
      <c r="J39" s="14">
        <v>100</v>
      </c>
      <c r="K39" s="23">
        <v>87999</v>
      </c>
    </row>
    <row r="40" spans="3:11" x14ac:dyDescent="0.25">
      <c r="C40" s="18">
        <v>43470</v>
      </c>
      <c r="D40" s="14">
        <v>1</v>
      </c>
      <c r="E40" s="14">
        <v>2019</v>
      </c>
      <c r="F40" s="14" t="s">
        <v>35</v>
      </c>
      <c r="G40" s="14">
        <v>1012</v>
      </c>
      <c r="H40" s="15" t="s">
        <v>7</v>
      </c>
      <c r="I40" s="22">
        <v>1350</v>
      </c>
      <c r="J40" s="14">
        <v>16</v>
      </c>
      <c r="K40" s="23">
        <v>21600</v>
      </c>
    </row>
    <row r="41" spans="3:11" x14ac:dyDescent="0.25">
      <c r="C41" s="18">
        <v>43471</v>
      </c>
      <c r="D41" s="14">
        <v>1</v>
      </c>
      <c r="E41" s="14">
        <v>2019</v>
      </c>
      <c r="F41" s="14" t="s">
        <v>35</v>
      </c>
      <c r="G41" s="14">
        <v>1011</v>
      </c>
      <c r="H41" s="15" t="s">
        <v>6</v>
      </c>
      <c r="I41" s="22">
        <v>1669</v>
      </c>
      <c r="J41" s="14">
        <v>30</v>
      </c>
      <c r="K41" s="23">
        <v>50070</v>
      </c>
    </row>
    <row r="42" spans="3:11" x14ac:dyDescent="0.25">
      <c r="C42" s="18">
        <v>43475</v>
      </c>
      <c r="D42" s="14">
        <v>1</v>
      </c>
      <c r="E42" s="14">
        <v>2019</v>
      </c>
      <c r="F42" s="14" t="s">
        <v>35</v>
      </c>
      <c r="G42" s="14">
        <v>1011</v>
      </c>
      <c r="H42" s="15" t="s">
        <v>6</v>
      </c>
      <c r="I42" s="22">
        <v>1669</v>
      </c>
      <c r="J42" s="14">
        <v>15</v>
      </c>
      <c r="K42" s="23">
        <v>25035</v>
      </c>
    </row>
    <row r="43" spans="3:11" x14ac:dyDescent="0.25">
      <c r="C43" s="18">
        <v>43474</v>
      </c>
      <c r="D43" s="14">
        <v>1</v>
      </c>
      <c r="E43" s="14">
        <v>2019</v>
      </c>
      <c r="F43" s="14" t="s">
        <v>35</v>
      </c>
      <c r="G43" s="14">
        <v>1018</v>
      </c>
      <c r="H43" s="15" t="s">
        <v>13</v>
      </c>
      <c r="I43" s="22">
        <v>2200.9899999999998</v>
      </c>
      <c r="J43" s="14">
        <v>11</v>
      </c>
      <c r="K43" s="23">
        <v>24210.89</v>
      </c>
    </row>
    <row r="44" spans="3:11" x14ac:dyDescent="0.25">
      <c r="C44" s="18">
        <v>43473</v>
      </c>
      <c r="D44" s="14">
        <v>1</v>
      </c>
      <c r="E44" s="14">
        <v>2019</v>
      </c>
      <c r="F44" s="14" t="s">
        <v>35</v>
      </c>
      <c r="G44" s="14">
        <v>1013</v>
      </c>
      <c r="H44" s="15" t="s">
        <v>8</v>
      </c>
      <c r="I44" s="22">
        <v>750</v>
      </c>
      <c r="J44" s="14">
        <v>17</v>
      </c>
      <c r="K44" s="23">
        <v>12750</v>
      </c>
    </row>
    <row r="45" spans="3:11" x14ac:dyDescent="0.25">
      <c r="C45" s="18">
        <v>43473</v>
      </c>
      <c r="D45" s="14">
        <v>1</v>
      </c>
      <c r="E45" s="14">
        <v>2019</v>
      </c>
      <c r="F45" s="14" t="s">
        <v>35</v>
      </c>
      <c r="G45" s="14">
        <v>1013</v>
      </c>
      <c r="H45" s="15" t="s">
        <v>8</v>
      </c>
      <c r="I45" s="22">
        <v>750</v>
      </c>
      <c r="J45" s="14">
        <v>8</v>
      </c>
      <c r="K45" s="23">
        <v>6000</v>
      </c>
    </row>
    <row r="46" spans="3:11" x14ac:dyDescent="0.25">
      <c r="C46" s="18">
        <v>43483</v>
      </c>
      <c r="D46" s="14">
        <v>1</v>
      </c>
      <c r="E46" s="14">
        <v>2019</v>
      </c>
      <c r="F46" s="14" t="s">
        <v>35</v>
      </c>
      <c r="G46" s="14">
        <v>1015</v>
      </c>
      <c r="H46" s="15" t="s">
        <v>10</v>
      </c>
      <c r="I46" s="22">
        <v>20</v>
      </c>
      <c r="J46" s="14">
        <v>8</v>
      </c>
      <c r="K46" s="23">
        <v>160</v>
      </c>
    </row>
    <row r="47" spans="3:11" x14ac:dyDescent="0.25">
      <c r="C47" s="18">
        <v>43477</v>
      </c>
      <c r="D47" s="14">
        <v>1</v>
      </c>
      <c r="E47" s="14">
        <v>2019</v>
      </c>
      <c r="F47" s="14" t="s">
        <v>35</v>
      </c>
      <c r="G47" s="14">
        <v>1016</v>
      </c>
      <c r="H47" s="15" t="s">
        <v>11</v>
      </c>
      <c r="I47" s="22">
        <v>1249.99</v>
      </c>
      <c r="J47" s="14">
        <v>18</v>
      </c>
      <c r="K47" s="23">
        <v>22499.82</v>
      </c>
    </row>
    <row r="48" spans="3:11" x14ac:dyDescent="0.25">
      <c r="C48" s="18">
        <v>43471</v>
      </c>
      <c r="D48" s="14">
        <v>1</v>
      </c>
      <c r="E48" s="14">
        <v>2019</v>
      </c>
      <c r="F48" s="14" t="s">
        <v>35</v>
      </c>
      <c r="G48" s="14">
        <v>1014</v>
      </c>
      <c r="H48" s="15" t="s">
        <v>9</v>
      </c>
      <c r="I48" s="22">
        <v>35</v>
      </c>
      <c r="J48" s="14">
        <v>28</v>
      </c>
      <c r="K48" s="23">
        <v>980</v>
      </c>
    </row>
    <row r="49" spans="3:11" x14ac:dyDescent="0.25">
      <c r="C49" s="18">
        <v>43487</v>
      </c>
      <c r="D49" s="14">
        <v>1</v>
      </c>
      <c r="E49" s="14">
        <v>2019</v>
      </c>
      <c r="F49" s="14" t="s">
        <v>35</v>
      </c>
      <c r="G49" s="14">
        <v>1014</v>
      </c>
      <c r="H49" s="15" t="s">
        <v>9</v>
      </c>
      <c r="I49" s="22">
        <v>35</v>
      </c>
      <c r="J49" s="14">
        <v>28</v>
      </c>
      <c r="K49" s="23">
        <v>980</v>
      </c>
    </row>
  </sheetData>
  <sortState ref="C5:K49">
    <sortCondition ref="E5:E49"/>
    <sortCondition ref="D5:D49"/>
    <sortCondition ref="F5:F49"/>
    <sortCondition ref="H5:H49"/>
  </sortState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30B8A-70EE-45C5-B113-203B23F46909}">
  <sheetPr codeName="Planilha11"/>
  <dimension ref="B2:C14"/>
  <sheetViews>
    <sheetView zoomScale="145" zoomScaleNormal="145" workbookViewId="0">
      <selection activeCell="C3" sqref="C3"/>
    </sheetView>
  </sheetViews>
  <sheetFormatPr defaultRowHeight="15" x14ac:dyDescent="0.25"/>
  <cols>
    <col min="3" max="3" width="12.7109375" customWidth="1"/>
  </cols>
  <sheetData>
    <row r="2" spans="2:3" x14ac:dyDescent="0.25">
      <c r="B2" s="36" t="s">
        <v>61</v>
      </c>
      <c r="C2" s="38" t="s">
        <v>27</v>
      </c>
    </row>
    <row r="3" spans="2:3" x14ac:dyDescent="0.25">
      <c r="B3" s="14">
        <v>1</v>
      </c>
      <c r="C3" s="37" t="s">
        <v>49</v>
      </c>
    </row>
    <row r="4" spans="2:3" x14ac:dyDescent="0.25">
      <c r="B4" s="14">
        <v>2</v>
      </c>
      <c r="C4" s="37" t="s">
        <v>50</v>
      </c>
    </row>
    <row r="5" spans="2:3" x14ac:dyDescent="0.25">
      <c r="B5" s="14">
        <v>3</v>
      </c>
      <c r="C5" s="37" t="s">
        <v>51</v>
      </c>
    </row>
    <row r="6" spans="2:3" x14ac:dyDescent="0.25">
      <c r="B6" s="14">
        <v>4</v>
      </c>
      <c r="C6" s="37" t="s">
        <v>52</v>
      </c>
    </row>
    <row r="7" spans="2:3" x14ac:dyDescent="0.25">
      <c r="B7" s="14">
        <v>5</v>
      </c>
      <c r="C7" s="37" t="s">
        <v>53</v>
      </c>
    </row>
    <row r="8" spans="2:3" x14ac:dyDescent="0.25">
      <c r="B8" s="14">
        <v>6</v>
      </c>
      <c r="C8" s="37" t="s">
        <v>54</v>
      </c>
    </row>
    <row r="9" spans="2:3" x14ac:dyDescent="0.25">
      <c r="B9" s="14">
        <v>7</v>
      </c>
      <c r="C9" s="37" t="s">
        <v>55</v>
      </c>
    </row>
    <row r="10" spans="2:3" x14ac:dyDescent="0.25">
      <c r="B10" s="14">
        <v>8</v>
      </c>
      <c r="C10" s="37" t="s">
        <v>56</v>
      </c>
    </row>
    <row r="11" spans="2:3" x14ac:dyDescent="0.25">
      <c r="B11" s="14">
        <v>9</v>
      </c>
      <c r="C11" s="37" t="s">
        <v>57</v>
      </c>
    </row>
    <row r="12" spans="2:3" x14ac:dyDescent="0.25">
      <c r="B12" s="14">
        <v>10</v>
      </c>
      <c r="C12" s="37" t="s">
        <v>58</v>
      </c>
    </row>
    <row r="13" spans="2:3" x14ac:dyDescent="0.25">
      <c r="B13" s="14">
        <v>11</v>
      </c>
      <c r="C13" s="37" t="s">
        <v>59</v>
      </c>
    </row>
    <row r="14" spans="2:3" x14ac:dyDescent="0.25">
      <c r="B14" s="14">
        <v>12</v>
      </c>
      <c r="C14" s="37" t="s">
        <v>60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59C48-BF20-4B49-BD3B-6A83F2835394}">
  <sheetPr codeName="Planilha4"/>
  <dimension ref="A1:L40"/>
  <sheetViews>
    <sheetView showGridLines="0" showRowColHeaders="0" zoomScaleNormal="100" workbookViewId="0">
      <selection activeCell="C5" sqref="C5:D6"/>
    </sheetView>
  </sheetViews>
  <sheetFormatPr defaultRowHeight="15" x14ac:dyDescent="0.25"/>
  <cols>
    <col min="1" max="1" width="40.7109375" style="1" customWidth="1"/>
    <col min="2" max="2" width="9.140625" style="25"/>
    <col min="3" max="3" width="11.28515625" style="25" bestFit="1" customWidth="1"/>
    <col min="4" max="4" width="10.7109375" style="25" bestFit="1" customWidth="1"/>
    <col min="5" max="16384" width="9.140625" style="25"/>
  </cols>
  <sheetData>
    <row r="1" spans="3:7" s="1" customFormat="1" ht="39.950000000000003" customHeight="1" x14ac:dyDescent="0.25"/>
    <row r="2" spans="3:7" hidden="1" x14ac:dyDescent="0.25"/>
    <row r="3" spans="3:7" hidden="1" x14ac:dyDescent="0.25"/>
    <row r="4" spans="3:7" x14ac:dyDescent="0.25">
      <c r="C4" s="25" t="s">
        <v>26</v>
      </c>
    </row>
    <row r="5" spans="3:7" ht="9.75" customHeight="1" x14ac:dyDescent="0.25">
      <c r="C5" s="120"/>
      <c r="D5" s="121"/>
    </row>
    <row r="6" spans="3:7" ht="9.75" customHeight="1" x14ac:dyDescent="0.25">
      <c r="C6" s="121"/>
      <c r="D6" s="121"/>
    </row>
    <row r="7" spans="3:7" x14ac:dyDescent="0.25">
      <c r="C7" s="25" t="s">
        <v>34</v>
      </c>
    </row>
    <row r="8" spans="3:7" ht="9.75" customHeight="1" x14ac:dyDescent="0.25">
      <c r="C8" s="122">
        <v>100101</v>
      </c>
      <c r="D8" s="122"/>
    </row>
    <row r="9" spans="3:7" ht="9.75" customHeight="1" x14ac:dyDescent="0.25">
      <c r="C9" s="122"/>
      <c r="D9" s="122"/>
    </row>
    <row r="10" spans="3:7" ht="16.5" customHeight="1" x14ac:dyDescent="0.25">
      <c r="C10" s="25" t="s">
        <v>30</v>
      </c>
    </row>
    <row r="11" spans="3:7" ht="9.75" customHeight="1" x14ac:dyDescent="0.25">
      <c r="C11" s="113" t="str">
        <f>VLOOKUP(C8,VENDEDOR_TABELA,2,0)</f>
        <v>EUGÊNIO MÁRCIO</v>
      </c>
      <c r="D11" s="113"/>
      <c r="E11" s="113"/>
      <c r="F11" s="113"/>
      <c r="G11" s="25" t="s">
        <v>36</v>
      </c>
    </row>
    <row r="12" spans="3:7" ht="9.75" customHeight="1" x14ac:dyDescent="0.25">
      <c r="C12" s="113"/>
      <c r="D12" s="113"/>
      <c r="E12" s="113"/>
      <c r="F12" s="113"/>
    </row>
    <row r="13" spans="3:7" ht="16.5" customHeight="1" x14ac:dyDescent="0.25">
      <c r="C13" s="25" t="s">
        <v>31</v>
      </c>
    </row>
    <row r="14" spans="3:7" ht="9.75" customHeight="1" x14ac:dyDescent="0.25">
      <c r="C14" s="122"/>
      <c r="D14" s="122"/>
    </row>
    <row r="15" spans="3:7" ht="9.75" customHeight="1" x14ac:dyDescent="0.25">
      <c r="C15" s="122"/>
      <c r="D15" s="122"/>
    </row>
    <row r="16" spans="3:7" ht="16.5" customHeight="1" x14ac:dyDescent="0.25">
      <c r="C16" s="25" t="s">
        <v>32</v>
      </c>
    </row>
    <row r="17" spans="3:11" ht="9.75" customHeight="1" x14ac:dyDescent="0.25">
      <c r="C17" s="114" t="str">
        <f>IFERROR(VLOOKUP(C14,PRODUTOS_TABELA,2,0),"")</f>
        <v/>
      </c>
      <c r="D17" s="115"/>
      <c r="E17" s="115"/>
      <c r="F17" s="115"/>
      <c r="G17" s="115"/>
      <c r="H17" s="116"/>
    </row>
    <row r="18" spans="3:11" ht="9.75" customHeight="1" x14ac:dyDescent="0.25">
      <c r="C18" s="117"/>
      <c r="D18" s="118"/>
      <c r="E18" s="118"/>
      <c r="F18" s="118"/>
      <c r="G18" s="118"/>
      <c r="H18" s="119"/>
    </row>
    <row r="19" spans="3:11" ht="16.5" customHeight="1" x14ac:dyDescent="0.25">
      <c r="C19" s="25" t="s">
        <v>5</v>
      </c>
      <c r="F19" s="25" t="s">
        <v>33</v>
      </c>
    </row>
    <row r="20" spans="3:11" ht="9.75" customHeight="1" x14ac:dyDescent="0.25">
      <c r="C20" s="123" t="str">
        <f>IFERROR(VLOOKUP(C14,PRODUTOS_TABELA,3,0),"")</f>
        <v/>
      </c>
      <c r="D20" s="123"/>
      <c r="F20" s="113">
        <f>SUMIFS(LANÇAMENTOS_QUANTIDADE,LANÇAMENTOS_CÓDIGO,C14,LANÇAMENTOS_TIPO,"ENTRADA")-SUMIFS(LANÇAMENTOS_QUANTIDADE,LANÇAMENTOS_CÓDIGO,C14,LANÇAMENTOS_TIPO,"SAÍDA")</f>
        <v>0</v>
      </c>
      <c r="G20" s="113"/>
    </row>
    <row r="21" spans="3:11" ht="9.75" customHeight="1" x14ac:dyDescent="0.5">
      <c r="C21" s="123"/>
      <c r="D21" s="123"/>
      <c r="E21" s="26"/>
      <c r="F21" s="113"/>
      <c r="G21" s="113"/>
      <c r="K21" s="29"/>
    </row>
    <row r="22" spans="3:11" ht="16.5" customHeight="1" x14ac:dyDescent="0.5">
      <c r="C22" s="25" t="s">
        <v>25</v>
      </c>
      <c r="K22" s="29"/>
    </row>
    <row r="23" spans="3:11" ht="9.75" customHeight="1" x14ac:dyDescent="0.25">
      <c r="C23" s="112"/>
      <c r="D23" s="112"/>
    </row>
    <row r="24" spans="3:11" ht="9.75" customHeight="1" x14ac:dyDescent="0.25">
      <c r="C24" s="112"/>
      <c r="D24" s="112"/>
    </row>
    <row r="25" spans="3:11" ht="11.25" customHeight="1" x14ac:dyDescent="0.25"/>
    <row r="36" spans="3:12" hidden="1" x14ac:dyDescent="0.25">
      <c r="C36" s="25" t="s">
        <v>37</v>
      </c>
      <c r="D36" s="25" t="s">
        <v>38</v>
      </c>
      <c r="E36" s="25" t="s">
        <v>39</v>
      </c>
      <c r="F36" s="25" t="s">
        <v>40</v>
      </c>
      <c r="G36" s="25" t="s">
        <v>41</v>
      </c>
      <c r="H36" s="25" t="s">
        <v>42</v>
      </c>
      <c r="I36" s="25" t="s">
        <v>43</v>
      </c>
      <c r="J36" s="25" t="s">
        <v>44</v>
      </c>
      <c r="K36" s="25" t="s">
        <v>45</v>
      </c>
      <c r="L36" s="25" t="s">
        <v>46</v>
      </c>
    </row>
    <row r="37" spans="3:12" hidden="1" x14ac:dyDescent="0.25">
      <c r="C37" s="18">
        <f>C5</f>
        <v>0</v>
      </c>
      <c r="D37" s="14">
        <f>MONTH(C37)</f>
        <v>1</v>
      </c>
      <c r="E37" s="14">
        <f>YEAR(C37)</f>
        <v>1900</v>
      </c>
      <c r="F37" s="14">
        <f>C8</f>
        <v>100101</v>
      </c>
      <c r="G37" s="27" t="str">
        <f>C11</f>
        <v>EUGÊNIO MÁRCIO</v>
      </c>
      <c r="H37" s="14">
        <f>C14</f>
        <v>0</v>
      </c>
      <c r="I37" s="28" t="str">
        <f>C17</f>
        <v/>
      </c>
      <c r="J37" s="22" t="str">
        <f>C20</f>
        <v/>
      </c>
      <c r="K37" s="14">
        <f>C23</f>
        <v>0</v>
      </c>
      <c r="L37" s="22" t="e">
        <f>J37*K37</f>
        <v>#VALUE!</v>
      </c>
    </row>
    <row r="39" spans="3:12" hidden="1" x14ac:dyDescent="0.25">
      <c r="C39" s="24" t="s">
        <v>26</v>
      </c>
      <c r="D39" s="24" t="s">
        <v>27</v>
      </c>
      <c r="E39" s="24" t="s">
        <v>28</v>
      </c>
      <c r="F39" s="24" t="s">
        <v>23</v>
      </c>
      <c r="G39" s="24" t="s">
        <v>3</v>
      </c>
      <c r="H39" s="24" t="s">
        <v>4</v>
      </c>
      <c r="I39" s="24" t="s">
        <v>5</v>
      </c>
      <c r="J39" s="24" t="s">
        <v>25</v>
      </c>
      <c r="K39" s="24" t="s">
        <v>29</v>
      </c>
    </row>
    <row r="40" spans="3:12" hidden="1" x14ac:dyDescent="0.25">
      <c r="C40" s="18">
        <f>C37</f>
        <v>0</v>
      </c>
      <c r="D40" s="14">
        <f>D37</f>
        <v>1</v>
      </c>
      <c r="E40" s="14">
        <f>E37</f>
        <v>1900</v>
      </c>
      <c r="F40" s="14" t="s">
        <v>35</v>
      </c>
      <c r="G40" s="14">
        <f>H37</f>
        <v>0</v>
      </c>
      <c r="H40" s="15" t="str">
        <f>I37</f>
        <v/>
      </c>
      <c r="I40" s="22" t="str">
        <f>J37</f>
        <v/>
      </c>
      <c r="J40" s="14">
        <f>K37</f>
        <v>0</v>
      </c>
      <c r="K40" s="23" t="e">
        <f>L37</f>
        <v>#VALUE!</v>
      </c>
    </row>
  </sheetData>
  <sheetProtection sheet="1" selectLockedCells="1"/>
  <mergeCells count="8">
    <mergeCell ref="C23:D24"/>
    <mergeCell ref="F20:G21"/>
    <mergeCell ref="C17:H18"/>
    <mergeCell ref="C5:D6"/>
    <mergeCell ref="C8:D9"/>
    <mergeCell ref="C11:F12"/>
    <mergeCell ref="C14:D15"/>
    <mergeCell ref="C20:D21"/>
  </mergeCells>
  <dataValidations count="3">
    <dataValidation type="list" allowBlank="1" showInputMessage="1" showErrorMessage="1" sqref="C8:D9" xr:uid="{31EBA56C-E835-4305-8CFE-1BF6F23F9528}">
      <formula1>VENDEDOR_MATRÍCULA</formula1>
    </dataValidation>
    <dataValidation type="list" allowBlank="1" showInputMessage="1" showErrorMessage="1" sqref="C14:D15" xr:uid="{545EDB0A-7130-4F57-BB75-75025394AF9B}">
      <formula1>PRODUTOS_CÓDIGO</formula1>
    </dataValidation>
    <dataValidation type="whole" allowBlank="1" showInputMessage="1" showErrorMessage="1" sqref="C23:D24" xr:uid="{E7249EC2-B4CA-46F3-A9F0-4A9C7F2573FB}">
      <formula1>1</formula1>
      <formula2>F20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6813F-22EF-4F75-89BF-FBB46F65DE9E}">
  <sheetPr codeName="Planilha14"/>
  <dimension ref="A1"/>
  <sheetViews>
    <sheetView workbookViewId="0">
      <selection activeCell="B3" sqref="B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34871-0E73-4534-864F-E236E13A9958}">
  <sheetPr codeName="Planilha6"/>
  <dimension ref="B3:E10"/>
  <sheetViews>
    <sheetView zoomScale="160" zoomScaleNormal="160" workbookViewId="0">
      <selection activeCell="E4" sqref="E4:E7"/>
    </sheetView>
  </sheetViews>
  <sheetFormatPr defaultRowHeight="15" x14ac:dyDescent="0.25"/>
  <cols>
    <col min="2" max="2" width="16.7109375" customWidth="1"/>
    <col min="3" max="3" width="19.28515625" customWidth="1"/>
    <col min="4" max="4" width="15.140625" customWidth="1"/>
    <col min="5" max="5" width="18.140625" customWidth="1"/>
  </cols>
  <sheetData>
    <row r="3" spans="2:5" x14ac:dyDescent="0.25">
      <c r="B3" s="16" t="s">
        <v>14</v>
      </c>
      <c r="C3" s="17" t="s">
        <v>15</v>
      </c>
      <c r="D3" s="16" t="s">
        <v>22</v>
      </c>
      <c r="E3" s="16" t="s">
        <v>20</v>
      </c>
    </row>
    <row r="4" spans="2:5" x14ac:dyDescent="0.25">
      <c r="B4" s="14">
        <v>100101</v>
      </c>
      <c r="C4" s="15" t="s">
        <v>16</v>
      </c>
      <c r="D4" s="19">
        <v>2200</v>
      </c>
      <c r="E4" s="18">
        <v>36892</v>
      </c>
    </row>
    <row r="5" spans="2:5" x14ac:dyDescent="0.25">
      <c r="B5" s="14">
        <v>100102</v>
      </c>
      <c r="C5" s="15" t="s">
        <v>17</v>
      </c>
      <c r="D5" s="19">
        <v>2500</v>
      </c>
      <c r="E5" s="18">
        <v>36134</v>
      </c>
    </row>
    <row r="6" spans="2:5" x14ac:dyDescent="0.25">
      <c r="B6" s="14">
        <v>100103</v>
      </c>
      <c r="C6" s="15" t="s">
        <v>18</v>
      </c>
      <c r="D6" s="19">
        <v>3500</v>
      </c>
      <c r="E6" s="18">
        <v>39063</v>
      </c>
    </row>
    <row r="7" spans="2:5" x14ac:dyDescent="0.25">
      <c r="B7" s="14">
        <v>100104</v>
      </c>
      <c r="C7" s="15" t="s">
        <v>19</v>
      </c>
      <c r="D7" s="19">
        <v>12500</v>
      </c>
      <c r="E7" s="18">
        <v>35292</v>
      </c>
    </row>
    <row r="9" spans="2:5" x14ac:dyDescent="0.25">
      <c r="B9" t="s">
        <v>21</v>
      </c>
    </row>
    <row r="10" spans="2:5" x14ac:dyDescent="0.25">
      <c r="B1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ED375-671E-4CEC-B5EF-F1D4723F800C}">
  <sheetPr codeName="Planilha7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21</vt:i4>
      </vt:variant>
      <vt:variant>
        <vt:lpstr>Intervalos Nomeados</vt:lpstr>
      </vt:variant>
      <vt:variant>
        <vt:i4>17</vt:i4>
      </vt:variant>
    </vt:vector>
  </HeadingPairs>
  <TitlesOfParts>
    <vt:vector size="38" baseType="lpstr">
      <vt:lpstr>PÁGINA INICIAL</vt:lpstr>
      <vt:lpstr>PRODUTOS</vt:lpstr>
      <vt:lpstr>PRODUTOS CADASTRO</vt:lpstr>
      <vt:lpstr>TABELADINÂMICA-ANO-MÊS</vt:lpstr>
      <vt:lpstr>TABELA-DINÂMICA-VENDEDOR</vt:lpstr>
      <vt:lpstr>VENDAS_LANÇAMENTOS_TABELA</vt:lpstr>
      <vt:lpstr>SUBTOTAL-VENDAS-VENDEDOR</vt:lpstr>
      <vt:lpstr>SUBTOTAL-VENDAS-MÊS-VENDEDOR</vt:lpstr>
      <vt:lpstr>PRODUTOS_TABELA</vt:lpstr>
      <vt:lpstr>ESTOQUE</vt:lpstr>
      <vt:lpstr>VENDEDORES</vt:lpstr>
      <vt:lpstr>GRÁFICO VENDEDOR</vt:lpstr>
      <vt:lpstr>LANÇAMENTOS</vt:lpstr>
      <vt:lpstr>LANÇAMENTOS_TABELA</vt:lpstr>
      <vt:lpstr>subtotal-produtos-mês</vt:lpstr>
      <vt:lpstr>Subtotal-mês-ano</vt:lpstr>
      <vt:lpstr>MESES_TABELA</vt:lpstr>
      <vt:lpstr>VENDAS</vt:lpstr>
      <vt:lpstr>Planilha1</vt:lpstr>
      <vt:lpstr>VENDEDOR_TABELA</vt:lpstr>
      <vt:lpstr>VENDAS_TABELA</vt:lpstr>
      <vt:lpstr>LANÇAMENTOS_CÓDIGO</vt:lpstr>
      <vt:lpstr>LANÇAMENTOS_QUANTIDADE</vt:lpstr>
      <vt:lpstr>LANÇAMENTOS_TABELA</vt:lpstr>
      <vt:lpstr>LANÇAMENTOS_TIPO</vt:lpstr>
      <vt:lpstr>LANÇAMENTOS_TOTAL</vt:lpstr>
      <vt:lpstr>MESES_TABELA</vt:lpstr>
      <vt:lpstr>PRODUTOS_CÓDIGO</vt:lpstr>
      <vt:lpstr>PRODUTOS_TABELA</vt:lpstr>
      <vt:lpstr>VENDAS_LANÇAMENTOS_TABELA</vt:lpstr>
      <vt:lpstr>VENDASLANÇAMENTOS_ANO</vt:lpstr>
      <vt:lpstr>VENDASLANÇAMENTOS_CÓDIGO</vt:lpstr>
      <vt:lpstr>VENDASLANÇAMENTOS_MATRICULA</vt:lpstr>
      <vt:lpstr>VENDASLANÇAMENTOS_MÊS</vt:lpstr>
      <vt:lpstr>VENDASLANÇAMENTOS_QUANTIDADE</vt:lpstr>
      <vt:lpstr>VENDASLANÇAMENTOS_TOTAL</vt:lpstr>
      <vt:lpstr>VENDEDOR_MATRÍCULA</vt:lpstr>
      <vt:lpstr>VENDEDOR_TABELA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Professor Eugênio</dc:creator>
  <cp:lastModifiedBy>Professor Eugênio</cp:lastModifiedBy>
  <dcterms:created xsi:type="dcterms:W3CDTF">2018-12-28T21:50:19Z</dcterms:created>
  <dcterms:modified xsi:type="dcterms:W3CDTF">2020-09-12T16:07:09Z</dcterms:modified>
</cp:coreProperties>
</file>