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2020\atividadesexcel\"/>
    </mc:Choice>
  </mc:AlternateContent>
  <xr:revisionPtr revIDLastSave="0" documentId="8_{C10A1F57-B7FD-4332-A5B5-6D72C54CBACF}" xr6:coauthVersionLast="45" xr6:coauthVersionMax="45" xr10:uidLastSave="{00000000-0000-0000-0000-000000000000}"/>
  <bookViews>
    <workbookView showSheetTabs="0" xWindow="-120" yWindow="-120" windowWidth="19440" windowHeight="11160" tabRatio="949" xr2:uid="{F40BFE9E-EFFB-4158-9390-1A15A9F0B434}"/>
  </bookViews>
  <sheets>
    <sheet name="FORMVENDAS" sheetId="1" r:id="rId1"/>
    <sheet name="VENDEDORES" sheetId="2" r:id="rId2"/>
    <sheet name="PRODUTOS" sheetId="3" r:id="rId3"/>
    <sheet name="Tabela Dinâmica" sheetId="12" r:id="rId4"/>
    <sheet name="Gráfico1" sheetId="13" r:id="rId5"/>
    <sheet name="LANÇAMENTOS_VENDAS" sheetId="5" r:id="rId6"/>
    <sheet name="bdsoma" sheetId="14" r:id="rId7"/>
    <sheet name="RELATÓRIOS" sheetId="4" r:id="rId8"/>
    <sheet name="RELATÓRIOS-VENDEDOR" sheetId="9" r:id="rId9"/>
    <sheet name="RELATÓRIOS-MÊS" sheetId="8" r:id="rId10"/>
    <sheet name="RELATÓRIOS-HOJE" sheetId="7" r:id="rId11"/>
    <sheet name="Planilha6" sheetId="6" state="hidden" r:id="rId12"/>
  </sheets>
  <definedNames>
    <definedName name="LANÇAMENTOS_VENDAS_ANO">LANÇAMENTOS_VENDAS!$E$5:$E$75</definedName>
    <definedName name="LANÇAMENTOS_VENDAS_DATA">LANÇAMENTOS_VENDAS!$B$5:$B$75</definedName>
    <definedName name="LANÇAMENTOS_VENDAS_DIAS">LANÇAMENTOS_VENDAS!$C$5:$C$75</definedName>
    <definedName name="LANÇAMENTOS_VENDAS_MÊS">LANÇAMENTOS_VENDAS!$D$5:$D$75</definedName>
    <definedName name="LANÇAMENTOS_VENDAS_PRODUTO">LANÇAMENTOS_VENDAS!$H$5:$H$75</definedName>
    <definedName name="LANÇAMENTOS_VENDAS_QUANTIDADE">LANÇAMENTOS_VENDAS!$J$5:$J$75</definedName>
    <definedName name="lançamentos_vendas_tabela">LANÇAMENTOS_VENDAS!$B$4:$K$75</definedName>
    <definedName name="LANÇAMENTOS_VENDAS_TOTAL">LANÇAMENTOS_VENDAS!$K$5:$K$75</definedName>
    <definedName name="LANÇAMENTOS_VENDAS_VENDEDOR">LANÇAMENTOS_VENDAS!$F$5:$F$75</definedName>
    <definedName name="MESES_MÊS">Planilha6!$B$4:$B$15</definedName>
    <definedName name="MESES_TABELA">Planilha6!$B$3:$C$15</definedName>
    <definedName name="PRODUTOS_CÓDIGO">PRODUTOS!$C$6:$C$13</definedName>
    <definedName name="PRODUTOS_TABELA">PRODUTOS!$C$5:$E$13</definedName>
    <definedName name="VENDEDORES_NOME">VENDEDORES!$C$6:$C$8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1" l="1"/>
  <c r="F11" i="4" l="1"/>
  <c r="D17" i="4"/>
  <c r="F9" i="4"/>
  <c r="D9" i="4"/>
  <c r="D6" i="14" l="1"/>
  <c r="E15" i="4"/>
  <c r="F16" i="4"/>
  <c r="F15" i="4"/>
  <c r="E14" i="4"/>
  <c r="F12" i="4"/>
  <c r="F10" i="4"/>
  <c r="E10" i="4"/>
  <c r="E12" i="4"/>
  <c r="F13" i="4"/>
  <c r="E16" i="4"/>
  <c r="E11" i="4"/>
  <c r="E13" i="4"/>
  <c r="E9" i="4"/>
  <c r="F14" i="4"/>
  <c r="F3" i="14"/>
  <c r="H19" i="9"/>
  <c r="H20" i="9"/>
  <c r="H21" i="9"/>
  <c r="E19" i="9"/>
  <c r="F19" i="9"/>
  <c r="G19" i="9"/>
  <c r="E20" i="9"/>
  <c r="F20" i="9"/>
  <c r="G20" i="9"/>
  <c r="E21" i="9"/>
  <c r="F21" i="9"/>
  <c r="G21" i="9"/>
  <c r="D21" i="9"/>
  <c r="D20" i="9"/>
  <c r="D19" i="9"/>
  <c r="C20" i="9"/>
  <c r="C21" i="9"/>
  <c r="C19" i="9"/>
  <c r="E10" i="9"/>
  <c r="E9" i="9"/>
  <c r="D5" i="9"/>
  <c r="G6" i="9"/>
  <c r="G10" i="9"/>
  <c r="G11" i="9"/>
  <c r="G9" i="9"/>
  <c r="C10" i="9"/>
  <c r="C11" i="9"/>
  <c r="C9" i="9"/>
  <c r="D5" i="8"/>
  <c r="D5" i="7"/>
  <c r="D8" i="14" l="1"/>
  <c r="G10" i="4"/>
  <c r="G11" i="4"/>
  <c r="G9" i="4"/>
  <c r="G12" i="4"/>
  <c r="G13" i="4"/>
  <c r="G15" i="4"/>
  <c r="G14" i="4"/>
  <c r="G16" i="4"/>
  <c r="E11" i="9"/>
  <c r="E15" i="9" s="1"/>
  <c r="D10" i="9"/>
  <c r="H9" i="9"/>
  <c r="D9" i="9"/>
  <c r="D11" i="9"/>
  <c r="I11" i="9"/>
  <c r="I10" i="9"/>
  <c r="I9" i="9"/>
  <c r="H11" i="9"/>
  <c r="H10" i="9"/>
  <c r="C16" i="4"/>
  <c r="D16" i="4"/>
  <c r="C10" i="4"/>
  <c r="D10" i="4"/>
  <c r="C11" i="4"/>
  <c r="D11" i="4"/>
  <c r="C12" i="4"/>
  <c r="D12" i="4"/>
  <c r="C13" i="4"/>
  <c r="D13" i="4"/>
  <c r="C14" i="4"/>
  <c r="D14" i="4"/>
  <c r="C15" i="4"/>
  <c r="D15" i="4"/>
  <c r="C9" i="4"/>
  <c r="C23" i="1"/>
  <c r="D23" i="1" s="1"/>
  <c r="C13" i="1"/>
  <c r="J23" i="1" s="1"/>
  <c r="C11" i="1"/>
  <c r="I23" i="1" s="1"/>
  <c r="K23" i="1"/>
  <c r="H23" i="1"/>
  <c r="G23" i="1"/>
  <c r="E13" i="9" l="1"/>
  <c r="I15" i="9"/>
  <c r="I13" i="9"/>
  <c r="L23" i="1"/>
  <c r="F23" i="1"/>
  <c r="E23" i="1"/>
</calcChain>
</file>

<file path=xl/sharedStrings.xml><?xml version="1.0" encoding="utf-8"?>
<sst xmlns="http://schemas.openxmlformats.org/spreadsheetml/2006/main" count="247" uniqueCount="52">
  <si>
    <t>VENDEDORES</t>
  </si>
  <si>
    <t>EUGÊNIO MÁRCIO</t>
  </si>
  <si>
    <t>PAULA LINS</t>
  </si>
  <si>
    <t>JOÃO PAULO</t>
  </si>
  <si>
    <t>CÓD</t>
  </si>
  <si>
    <t>PRODUTO</t>
  </si>
  <si>
    <t>VALOR</t>
  </si>
  <si>
    <t>COMPUTADOR INTEL i5 3,2G</t>
  </si>
  <si>
    <t>PC GAMER i5 8GB</t>
  </si>
  <si>
    <t>NOTEBOOK i5 DELL</t>
  </si>
  <si>
    <t>TECLADO ABNT USB</t>
  </si>
  <si>
    <t>MOUSE GOLDENTEC</t>
  </si>
  <si>
    <t>CÂMERA USB 720P</t>
  </si>
  <si>
    <t>HD 500GB SAMSUNG</t>
  </si>
  <si>
    <t>PEN-DRIVE 16GB</t>
  </si>
  <si>
    <t>DATA</t>
  </si>
  <si>
    <t>DIA</t>
  </si>
  <si>
    <t>MÊS</t>
  </si>
  <si>
    <t>ANO</t>
  </si>
  <si>
    <t>CÓDIGO</t>
  </si>
  <si>
    <t>QUANTIDADE</t>
  </si>
  <si>
    <t>TOTAL</t>
  </si>
  <si>
    <t>VENDEDOR</t>
  </si>
  <si>
    <t>MESES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</si>
  <si>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</si>
  <si>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</si>
  <si>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</si>
  <si>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</si>
  <si>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</si>
  <si>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</si>
  <si>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</si>
  <si>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</si>
  <si>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</si>
  <si>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</si>
  <si>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</si>
  <si>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</si>
  <si>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NR.</t>
  </si>
  <si>
    <t>MESES_TABELA</t>
  </si>
  <si>
    <t>MESES_MÊS</t>
  </si>
  <si>
    <t>NOME VENDEDOR</t>
  </si>
  <si>
    <t>VENDAS</t>
  </si>
  <si>
    <t>QUANT.</t>
  </si>
  <si>
    <t>QUANT</t>
  </si>
  <si>
    <t>QUANTIDADES</t>
  </si>
  <si>
    <t>QUINQUEMESTRE</t>
  </si>
  <si>
    <t>Rótulos de Linha</t>
  </si>
  <si>
    <t>Total Geral</t>
  </si>
  <si>
    <t>Soma de TOTAL</t>
  </si>
  <si>
    <t xml:space="preserve"> </t>
  </si>
  <si>
    <t>quantidade</t>
  </si>
  <si>
    <t>total</t>
  </si>
  <si>
    <t>média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</si>
</sst>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&quot;R$&quot;\ 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2" borderId="0" applyNumberFormat="0" applyBorder="0" applyAlignment="0" applyProtection="0"/>
  </cellStyleXfs>
  <cellXfs count="55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Fill="1"/>
    <xf numFmtId="0" fontId="3" fillId="2" borderId="0" xfId="2"/>
    <xf numFmtId="164" fontId="0" fillId="0" borderId="0" xfId="1" applyFont="1" applyFill="1"/>
    <xf numFmtId="0" fontId="2" fillId="2" borderId="0" xfId="2" applyFont="1"/>
    <xf numFmtId="0" fontId="0" fillId="6" borderId="0" xfId="0" applyFill="1"/>
    <xf numFmtId="0" fontId="0" fillId="0" borderId="1" xfId="0" applyBorder="1"/>
    <xf numFmtId="0" fontId="0" fillId="0" borderId="0" xfId="0" applyFill="1" applyAlignment="1">
      <alignment horizontal="center"/>
    </xf>
    <xf numFmtId="0" fontId="0" fillId="5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right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1" xfId="0" applyFill="1" applyBorder="1"/>
    <xf numFmtId="0" fontId="3" fillId="2" borderId="0" xfId="2" applyAlignment="1">
      <alignment horizontal="center"/>
    </xf>
    <xf numFmtId="0" fontId="3" fillId="2" borderId="1" xfId="2" applyBorder="1"/>
    <xf numFmtId="0" fontId="0" fillId="7" borderId="0" xfId="0" applyFill="1" applyAlignment="1">
      <alignment horizontal="center"/>
    </xf>
    <xf numFmtId="14" fontId="0" fillId="0" borderId="0" xfId="0" applyNumberFormat="1" applyFill="1"/>
    <xf numFmtId="164" fontId="0" fillId="0" borderId="0" xfId="0" applyNumberFormat="1" applyFill="1"/>
    <xf numFmtId="0" fontId="2" fillId="2" borderId="2" xfId="2" applyFont="1" applyBorder="1"/>
    <xf numFmtId="0" fontId="2" fillId="2" borderId="3" xfId="2" applyFont="1" applyBorder="1"/>
    <xf numFmtId="0" fontId="2" fillId="2" borderId="4" xfId="2" applyFont="1" applyBorder="1"/>
    <xf numFmtId="0" fontId="0" fillId="0" borderId="5" xfId="0" applyFill="1" applyBorder="1"/>
    <xf numFmtId="0" fontId="0" fillId="0" borderId="0" xfId="0" applyFill="1" applyBorder="1"/>
    <xf numFmtId="164" fontId="0" fillId="0" borderId="6" xfId="1" applyFont="1" applyFill="1" applyBorder="1"/>
    <xf numFmtId="0" fontId="0" fillId="0" borderId="7" xfId="0" applyFill="1" applyBorder="1"/>
    <xf numFmtId="0" fontId="0" fillId="0" borderId="8" xfId="0" applyFill="1" applyBorder="1"/>
    <xf numFmtId="164" fontId="0" fillId="0" borderId="9" xfId="1" applyFont="1" applyFill="1" applyBorder="1"/>
    <xf numFmtId="0" fontId="3" fillId="2" borderId="3" xfId="2" applyBorder="1"/>
    <xf numFmtId="0" fontId="3" fillId="2" borderId="4" xfId="2" applyBorder="1"/>
    <xf numFmtId="0" fontId="0" fillId="0" borderId="6" xfId="0" applyFill="1" applyBorder="1"/>
    <xf numFmtId="0" fontId="0" fillId="0" borderId="9" xfId="0" applyFill="1" applyBorder="1"/>
    <xf numFmtId="0" fontId="3" fillId="2" borderId="3" xfId="2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5" fillId="7" borderId="0" xfId="0" applyFont="1" applyFill="1"/>
    <xf numFmtId="0" fontId="5" fillId="7" borderId="0" xfId="0" applyFont="1" applyFill="1" applyAlignment="1">
      <alignment horizontal="center"/>
    </xf>
    <xf numFmtId="0" fontId="0" fillId="8" borderId="5" xfId="0" applyFill="1" applyBorder="1"/>
    <xf numFmtId="0" fontId="0" fillId="8" borderId="7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7" borderId="1" xfId="0" applyFont="1" applyFill="1" applyBorder="1" applyAlignment="1">
      <alignment horizontal="center"/>
    </xf>
    <xf numFmtId="164" fontId="0" fillId="0" borderId="1" xfId="1" applyFont="1" applyBorder="1"/>
    <xf numFmtId="0" fontId="0" fillId="0" borderId="1" xfId="0" applyBorder="1" applyAlignment="1">
      <alignment horizontal="center"/>
    </xf>
    <xf numFmtId="164" fontId="0" fillId="3" borderId="0" xfId="0" applyNumberFormat="1" applyFill="1"/>
  </cellXfs>
  <cellStyles count="3">
    <cellStyle name="Ênfase1" xfId="2" builtinId="29"/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chartsheet" Target="chartsheets/sheet1.xml"/><Relationship Id="rId15" Type="http://schemas.openxmlformats.org/officeDocument/2006/relationships/styles" Target="style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[Sistema-Vendas-macro.xlsm]Tabela Dinâmica!Tabela dinâmica3</c:name>
    <c:fmtId val="1"/>
  </c:pivotSource>
  <c:chart>
    <c:title>
      <c:tx>
        <c:strRef>
          <c:f>'Tabela Dinâmica'!$B$1</c:f>
          <c:strCache>
            <c:ptCount val="1"/>
            <c:pt idx="0">
              <c:v>PAULA LINS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'Tabela Dinâmica'!$B$1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C13-4C90-B49F-F4F05B31C100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C13-4C90-B49F-F4F05B31C100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chemeClr val="accent3"/>
                  </a:gs>
                  <a:gs pos="100000">
                    <a:schemeClr val="accent3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C13-4C90-B49F-F4F05B31C10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 Dinâmica'!$B$1</c:f>
              <c:strCache>
                <c:ptCount val="3"/>
                <c:pt idx="0">
                  <c:v>CÂMERA USB 720P</c:v>
                </c:pt>
                <c:pt idx="1">
                  <c:v>COMPUTADOR INTEL i5 3,2G</c:v>
                </c:pt>
                <c:pt idx="2">
                  <c:v>TECLADO ABNT USB</c:v>
                </c:pt>
              </c:strCache>
            </c:strRef>
          </c:cat>
          <c:val>
            <c:numRef>
              <c:f>'Tabela Dinâmica'!$B$1</c:f>
              <c:numCache>
                <c:formatCode>General</c:formatCode>
                <c:ptCount val="3"/>
                <c:pt idx="0">
                  <c:v>660</c:v>
                </c:pt>
                <c:pt idx="1">
                  <c:v>4350</c:v>
                </c:pt>
                <c:pt idx="2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7D-42DE-B7AE-17026DB75A5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515628088"/>
        <c:axId val="515624480"/>
      </c:barChart>
      <c:catAx>
        <c:axId val="515628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624480"/>
        <c:crosses val="autoZero"/>
        <c:auto val="1"/>
        <c:lblAlgn val="ctr"/>
        <c:lblOffset val="100"/>
        <c:noMultiLvlLbl val="0"/>
      </c:catAx>
      <c:valAx>
        <c:axId val="5156244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15628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369605877689298"/>
          <c:y val="0.44587865994661924"/>
          <c:w val="0.19840270624556333"/>
          <c:h val="0.259803487842976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RELATÓRIOS!$D$17</c:f>
          <c:strCache>
            <c:ptCount val="1"/>
            <c:pt idx="0">
              <c:v>VENDAS EUGÊNIO MÁRCIO DEZEMBRO DE 2019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RELATÓRIOS!$F$8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40000"/>
                    <a:lumOff val="60000"/>
                  </a:schemeClr>
                </a:gs>
                <a:gs pos="46000">
                  <a:schemeClr val="accent6">
                    <a:lumMod val="95000"/>
                    <a:lumOff val="5000"/>
                  </a:schemeClr>
                </a:gs>
                <a:gs pos="100000">
                  <a:schemeClr val="accent6">
                    <a:lumMod val="60000"/>
                  </a:schemeClr>
                </a:gs>
              </a:gsLst>
              <a:path path="circle">
                <a:fillToRect l="50000" t="130000" r="50000" b="-30000"/>
              </a:path>
              <a:tileRect/>
            </a:gradFill>
            <a:ln>
              <a:noFill/>
            </a:ln>
            <a:effectLst/>
          </c:spPr>
          <c:invertIfNegative val="0"/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8C67-4C4C-A091-19E4873AB9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RELATÓRIOS!$D$9:$D$16</c:f>
              <c:strCache>
                <c:ptCount val="8"/>
                <c:pt idx="0">
                  <c:v>COMPUTADOR INTEL i5 3,2G</c:v>
                </c:pt>
                <c:pt idx="1">
                  <c:v>PC GAMER i5 8GB</c:v>
                </c:pt>
                <c:pt idx="2">
                  <c:v>NOTEBOOK i5 DELL</c:v>
                </c:pt>
                <c:pt idx="3">
                  <c:v>TECLADO ABNT USB</c:v>
                </c:pt>
                <c:pt idx="4">
                  <c:v>MOUSE GOLDENTEC</c:v>
                </c:pt>
                <c:pt idx="5">
                  <c:v>CÂMERA USB 720P</c:v>
                </c:pt>
                <c:pt idx="6">
                  <c:v>HD 500GB SAMSUNG</c:v>
                </c:pt>
                <c:pt idx="7">
                  <c:v>PEN-DRIVE 16GB</c:v>
                </c:pt>
              </c:strCache>
            </c:strRef>
          </c:cat>
          <c:val>
            <c:numRef>
              <c:f>RELATÓRIOS!$F$9:$F$16</c:f>
              <c:numCache>
                <c:formatCode>_("R$"* #,##0.00_);_("R$"* \(#,##0.00\);_("R$"* "-"??_);_(@_)</c:formatCode>
                <c:ptCount val="8"/>
                <c:pt idx="0">
                  <c:v>46400</c:v>
                </c:pt>
                <c:pt idx="1">
                  <c:v>114950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67-4C4C-A091-19E4873AB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98238032"/>
        <c:axId val="398238360"/>
      </c:barChart>
      <c:lineChart>
        <c:grouping val="standard"/>
        <c:varyColors val="0"/>
        <c:ser>
          <c:idx val="1"/>
          <c:order val="1"/>
          <c:tx>
            <c:strRef>
              <c:f>RELATÓRIOS!$G$8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RELATÓRIOS!$D$9:$D$16</c:f>
              <c:strCache>
                <c:ptCount val="8"/>
                <c:pt idx="0">
                  <c:v>COMPUTADOR INTEL i5 3,2G</c:v>
                </c:pt>
                <c:pt idx="1">
                  <c:v>PC GAMER i5 8GB</c:v>
                </c:pt>
                <c:pt idx="2">
                  <c:v>NOTEBOOK i5 DELL</c:v>
                </c:pt>
                <c:pt idx="3">
                  <c:v>TECLADO ABNT USB</c:v>
                </c:pt>
                <c:pt idx="4">
                  <c:v>MOUSE GOLDENTEC</c:v>
                </c:pt>
                <c:pt idx="5">
                  <c:v>CÂMERA USB 720P</c:v>
                </c:pt>
                <c:pt idx="6">
                  <c:v>HD 500GB SAMSUNG</c:v>
                </c:pt>
                <c:pt idx="7">
                  <c:v>PEN-DRIVE 16GB</c:v>
                </c:pt>
              </c:strCache>
            </c:strRef>
          </c:cat>
          <c:val>
            <c:numRef>
              <c:f>RELATÓRIOS!$G$9:$G$16</c:f>
              <c:numCache>
                <c:formatCode>_("R$"* #,##0.00_);_("R$"* \(#,##0.00\);_("R$"* "-"??_);_(@_)</c:formatCode>
                <c:ptCount val="8"/>
                <c:pt idx="0">
                  <c:v>20187.5</c:v>
                </c:pt>
                <c:pt idx="1">
                  <c:v>20187.5</c:v>
                </c:pt>
                <c:pt idx="2">
                  <c:v>20187.5</c:v>
                </c:pt>
                <c:pt idx="3">
                  <c:v>20187.5</c:v>
                </c:pt>
                <c:pt idx="4">
                  <c:v>20187.5</c:v>
                </c:pt>
                <c:pt idx="5">
                  <c:v>20187.5</c:v>
                </c:pt>
                <c:pt idx="6">
                  <c:v>20187.5</c:v>
                </c:pt>
                <c:pt idx="7">
                  <c:v>20187.5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7-4C4C-A091-19E4873AB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238032"/>
        <c:axId val="398238360"/>
      </c:lineChart>
      <c:catAx>
        <c:axId val="39823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238360"/>
        <c:crosses val="autoZero"/>
        <c:auto val="1"/>
        <c:lblAlgn val="ctr"/>
        <c:lblOffset val="100"/>
        <c:noMultiLvlLbl val="0"/>
      </c:catAx>
      <c:valAx>
        <c:axId val="39823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23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'RELATÓRIOS-VENDEDOR'!$C$19</c:f>
              <c:strCache>
                <c:ptCount val="1"/>
                <c:pt idx="0">
                  <c:v>EUGÊNIO MÁRCIO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'RELATÓRIOS-VENDEDOR'!$D$18:$H$18</c:f>
              <c:strCache>
                <c:ptCount val="5"/>
                <c:pt idx="0">
                  <c:v>AGOSTO</c:v>
                </c:pt>
                <c:pt idx="1">
                  <c:v>SETEMBRO</c:v>
                </c:pt>
                <c:pt idx="2">
                  <c:v>OUTUBRO</c:v>
                </c:pt>
                <c:pt idx="3">
                  <c:v>NOVEMBRO</c:v>
                </c:pt>
                <c:pt idx="4">
                  <c:v>DEZEMBRO</c:v>
                </c:pt>
              </c:strCache>
            </c:strRef>
          </c:cat>
          <c:val>
            <c:numRef>
              <c:f>'RELATÓRIOS-VENDEDOR'!$D$19:$H$19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8-4783-92BC-355B4A7D9174}"/>
            </c:ext>
          </c:extLst>
        </c:ser>
        <c:ser>
          <c:idx val="1"/>
          <c:order val="1"/>
          <c:tx>
            <c:strRef>
              <c:f>'RELATÓRIOS-VENDEDOR'!$C$20</c:f>
              <c:strCache>
                <c:ptCount val="1"/>
                <c:pt idx="0">
                  <c:v>PAULA LINS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'RELATÓRIOS-VENDEDOR'!$D$18:$H$18</c:f>
              <c:strCache>
                <c:ptCount val="5"/>
                <c:pt idx="0">
                  <c:v>AGOSTO</c:v>
                </c:pt>
                <c:pt idx="1">
                  <c:v>SETEMBRO</c:v>
                </c:pt>
                <c:pt idx="2">
                  <c:v>OUTUBRO</c:v>
                </c:pt>
                <c:pt idx="3">
                  <c:v>NOVEMBRO</c:v>
                </c:pt>
                <c:pt idx="4">
                  <c:v>DEZEMBRO</c:v>
                </c:pt>
              </c:strCache>
            </c:strRef>
          </c:cat>
          <c:val>
            <c:numRef>
              <c:f>'RELATÓRIOS-VENDEDOR'!$D$20:$H$20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</c:v>
                </c:pt>
                <c:pt idx="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C8-4783-92BC-355B4A7D9174}"/>
            </c:ext>
          </c:extLst>
        </c:ser>
        <c:ser>
          <c:idx val="2"/>
          <c:order val="2"/>
          <c:tx>
            <c:strRef>
              <c:f>'RELATÓRIOS-VENDEDOR'!$C$21</c:f>
              <c:strCache>
                <c:ptCount val="1"/>
                <c:pt idx="0">
                  <c:v>JOÃO PAULO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'RELATÓRIOS-VENDEDOR'!$D$18:$H$18</c:f>
              <c:strCache>
                <c:ptCount val="5"/>
                <c:pt idx="0">
                  <c:v>AGOSTO</c:v>
                </c:pt>
                <c:pt idx="1">
                  <c:v>SETEMBRO</c:v>
                </c:pt>
                <c:pt idx="2">
                  <c:v>OUTUBRO</c:v>
                </c:pt>
                <c:pt idx="3">
                  <c:v>NOVEMBRO</c:v>
                </c:pt>
                <c:pt idx="4">
                  <c:v>DEZEMBRO</c:v>
                </c:pt>
              </c:strCache>
            </c:strRef>
          </c:cat>
          <c:val>
            <c:numRef>
              <c:f>'RELATÓRIOS-VENDEDOR'!$D$21:$H$21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C8-4783-92BC-355B4A7D9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620544"/>
        <c:axId val="515620872"/>
      </c:lineChart>
      <c:catAx>
        <c:axId val="51562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620872"/>
        <c:crosses val="autoZero"/>
        <c:auto val="1"/>
        <c:lblAlgn val="ctr"/>
        <c:lblOffset val="100"/>
        <c:noMultiLvlLbl val="0"/>
      </c:catAx>
      <c:valAx>
        <c:axId val="51562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62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6B1981F-8CDE-43A6-8791-09A4B777EBE3}">
  <sheetPr codeName="Gráfico10"/>
  <sheetViews>
    <sheetView zoomScale="96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619623</xdr:colOff>
      <xdr:row>0</xdr:row>
      <xdr:rowOff>452701</xdr:rowOff>
    </xdr:from>
    <xdr:to>
      <xdr:col>2</xdr:col>
      <xdr:colOff>803684</xdr:colOff>
      <xdr:row>0</xdr:row>
      <xdr:rowOff>761534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ABBC234-02F9-46F2-A29E-3AE49919D29A}"/>
            </a:ext>
          </a:extLst>
        </xdr:cNvPr>
        <xdr:cNvSpPr/>
      </xdr:nvSpPr>
      <xdr:spPr>
        <a:xfrm>
          <a:off x="2000748" y="452701"/>
          <a:ext cx="1255990" cy="308833"/>
        </a:xfrm>
        <a:prstGeom prst="round2Same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/>
              </a:solidFill>
            </a:rPr>
            <a:t>form. vendas</a:t>
          </a:r>
        </a:p>
      </xdr:txBody>
    </xdr:sp>
    <xdr:clientData/>
  </xdr:twoCellAnchor>
  <xdr:twoCellAnchor editAs="absolute">
    <xdr:from>
      <xdr:col>2</xdr:col>
      <xdr:colOff>847921</xdr:colOff>
      <xdr:row>0</xdr:row>
      <xdr:rowOff>452701</xdr:rowOff>
    </xdr:from>
    <xdr:to>
      <xdr:col>3</xdr:col>
      <xdr:colOff>352775</xdr:colOff>
      <xdr:row>0</xdr:row>
      <xdr:rowOff>761534</xdr:rowOff>
    </xdr:to>
    <xdr:sp macro="[0]!IRPARA_VENDEDORES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29053C2F-27AD-4D3B-9D01-F2450295E47E}"/>
            </a:ext>
          </a:extLst>
        </xdr:cNvPr>
        <xdr:cNvSpPr/>
      </xdr:nvSpPr>
      <xdr:spPr>
        <a:xfrm>
          <a:off x="3302336" y="452701"/>
          <a:ext cx="1255989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vendedores</a:t>
          </a:r>
        </a:p>
      </xdr:txBody>
    </xdr:sp>
    <xdr:clientData/>
  </xdr:twoCellAnchor>
  <xdr:twoCellAnchor editAs="absolute">
    <xdr:from>
      <xdr:col>3</xdr:col>
      <xdr:colOff>395547</xdr:colOff>
      <xdr:row>0</xdr:row>
      <xdr:rowOff>452701</xdr:rowOff>
    </xdr:from>
    <xdr:to>
      <xdr:col>5</xdr:col>
      <xdr:colOff>432337</xdr:colOff>
      <xdr:row>0</xdr:row>
      <xdr:rowOff>761534</xdr:rowOff>
    </xdr:to>
    <xdr:sp macro="[0]!IRPARA_PRODUTOS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id="{EAE3CB1A-E75F-4125-9F3C-D7FCD4581375}"/>
            </a:ext>
          </a:extLst>
        </xdr:cNvPr>
        <xdr:cNvSpPr/>
      </xdr:nvSpPr>
      <xdr:spPr>
        <a:xfrm>
          <a:off x="4602562" y="452701"/>
          <a:ext cx="1255990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produtos</a:t>
          </a:r>
        </a:p>
      </xdr:txBody>
    </xdr:sp>
    <xdr:clientData/>
  </xdr:twoCellAnchor>
  <xdr:twoCellAnchor editAs="absolute">
    <xdr:from>
      <xdr:col>5</xdr:col>
      <xdr:colOff>476575</xdr:colOff>
      <xdr:row>0</xdr:row>
      <xdr:rowOff>452701</xdr:rowOff>
    </xdr:from>
    <xdr:to>
      <xdr:col>7</xdr:col>
      <xdr:colOff>513365</xdr:colOff>
      <xdr:row>0</xdr:row>
      <xdr:rowOff>761534</xdr:rowOff>
    </xdr:to>
    <xdr:sp macro="[0]!IRPARA_RELATÓRIOS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9FFF08D3-D69A-4B2E-A0CF-3D676C049256}"/>
            </a:ext>
          </a:extLst>
        </xdr:cNvPr>
        <xdr:cNvSpPr/>
      </xdr:nvSpPr>
      <xdr:spPr>
        <a:xfrm>
          <a:off x="5902790" y="452701"/>
          <a:ext cx="1255990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relatórios</a:t>
          </a:r>
        </a:p>
      </xdr:txBody>
    </xdr:sp>
    <xdr:clientData/>
  </xdr:twoCellAnchor>
  <xdr:twoCellAnchor editAs="absolute">
    <xdr:from>
      <xdr:col>0</xdr:col>
      <xdr:colOff>381829</xdr:colOff>
      <xdr:row>0</xdr:row>
      <xdr:rowOff>32718</xdr:rowOff>
    </xdr:from>
    <xdr:to>
      <xdr:col>0</xdr:col>
      <xdr:colOff>1082537</xdr:colOff>
      <xdr:row>0</xdr:row>
      <xdr:rowOff>733426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31BDC33-B9C8-44F1-AE3B-9835EBF22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829" y="32718"/>
          <a:ext cx="700708" cy="700708"/>
        </a:xfrm>
        <a:prstGeom prst="rect">
          <a:avLst/>
        </a:prstGeom>
      </xdr:spPr>
    </xdr:pic>
    <xdr:clientData/>
  </xdr:twoCellAnchor>
  <xdr:twoCellAnchor editAs="absolute">
    <xdr:from>
      <xdr:col>3</xdr:col>
      <xdr:colOff>51289</xdr:colOff>
      <xdr:row>3</xdr:row>
      <xdr:rowOff>190499</xdr:rowOff>
    </xdr:from>
    <xdr:to>
      <xdr:col>3</xdr:col>
      <xdr:colOff>293077</xdr:colOff>
      <xdr:row>5</xdr:row>
      <xdr:rowOff>9524</xdr:rowOff>
    </xdr:to>
    <xdr:sp macro="[0]!DATAATUAL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BB690C9D-3FD6-4D81-9D3F-E076BFB47EC3}"/>
            </a:ext>
          </a:extLst>
        </xdr:cNvPr>
        <xdr:cNvSpPr/>
      </xdr:nvSpPr>
      <xdr:spPr>
        <a:xfrm>
          <a:off x="4251814" y="1333499"/>
          <a:ext cx="241788" cy="257175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>
              <a:solidFill>
                <a:schemeClr val="tx1"/>
              </a:solidFill>
            </a:rPr>
            <a:t>*</a:t>
          </a:r>
        </a:p>
      </xdr:txBody>
    </xdr:sp>
    <xdr:clientData/>
  </xdr:twoCellAnchor>
  <xdr:twoCellAnchor editAs="absolute">
    <xdr:from>
      <xdr:col>2</xdr:col>
      <xdr:colOff>7327</xdr:colOff>
      <xdr:row>16</xdr:row>
      <xdr:rowOff>0</xdr:rowOff>
    </xdr:from>
    <xdr:to>
      <xdr:col>3</xdr:col>
      <xdr:colOff>36634</xdr:colOff>
      <xdr:row>18</xdr:row>
      <xdr:rowOff>43962</xdr:rowOff>
    </xdr:to>
    <xdr:sp macro="[0]!CADASTRAR_VENDA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669E6B57-6EC9-4DAE-8EED-2EA3BAB8D915}"/>
            </a:ext>
          </a:extLst>
        </xdr:cNvPr>
        <xdr:cNvSpPr/>
      </xdr:nvSpPr>
      <xdr:spPr>
        <a:xfrm>
          <a:off x="2461846" y="3385038"/>
          <a:ext cx="1780442" cy="424962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CADASTRAR VENDA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10023</xdr:colOff>
      <xdr:row>0</xdr:row>
      <xdr:rowOff>452701</xdr:rowOff>
    </xdr:from>
    <xdr:to>
      <xdr:col>2</xdr:col>
      <xdr:colOff>1268640</xdr:colOff>
      <xdr:row>0</xdr:row>
      <xdr:rowOff>761534</xdr:rowOff>
    </xdr:to>
    <xdr:sp macro="[0]!IRPARA_FORMVENDA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A33F1D41-AB44-451C-B3ED-22064C61E431}"/>
            </a:ext>
          </a:extLst>
        </xdr:cNvPr>
        <xdr:cNvSpPr/>
      </xdr:nvSpPr>
      <xdr:spPr>
        <a:xfrm>
          <a:off x="2000748" y="452701"/>
          <a:ext cx="1255990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form. vendas</a:t>
          </a:r>
        </a:p>
      </xdr:txBody>
    </xdr:sp>
    <xdr:clientData/>
  </xdr:twoCellAnchor>
  <xdr:twoCellAnchor editAs="absolute">
    <xdr:from>
      <xdr:col>3</xdr:col>
      <xdr:colOff>38498</xdr:colOff>
      <xdr:row>0</xdr:row>
      <xdr:rowOff>452701</xdr:rowOff>
    </xdr:from>
    <xdr:to>
      <xdr:col>5</xdr:col>
      <xdr:colOff>75288</xdr:colOff>
      <xdr:row>0</xdr:row>
      <xdr:rowOff>761534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154CFDCD-7DC9-493F-B810-BCE59ACF946B}"/>
            </a:ext>
          </a:extLst>
        </xdr:cNvPr>
        <xdr:cNvSpPr/>
      </xdr:nvSpPr>
      <xdr:spPr>
        <a:xfrm>
          <a:off x="3300975" y="452701"/>
          <a:ext cx="1255989" cy="308833"/>
        </a:xfrm>
        <a:prstGeom prst="round2Same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/>
              </a:solidFill>
            </a:rPr>
            <a:t>vendedores</a:t>
          </a:r>
        </a:p>
      </xdr:txBody>
    </xdr:sp>
    <xdr:clientData/>
  </xdr:twoCellAnchor>
  <xdr:twoCellAnchor editAs="absolute">
    <xdr:from>
      <xdr:col>5</xdr:col>
      <xdr:colOff>119525</xdr:colOff>
      <xdr:row>0</xdr:row>
      <xdr:rowOff>452701</xdr:rowOff>
    </xdr:from>
    <xdr:to>
      <xdr:col>7</xdr:col>
      <xdr:colOff>156314</xdr:colOff>
      <xdr:row>0</xdr:row>
      <xdr:rowOff>761534</xdr:rowOff>
    </xdr:to>
    <xdr:sp macro="[0]!IRPARA_PRODUTOS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id="{8357F4DC-5AAA-411E-B657-0E9C906D29B8}"/>
            </a:ext>
          </a:extLst>
        </xdr:cNvPr>
        <xdr:cNvSpPr/>
      </xdr:nvSpPr>
      <xdr:spPr>
        <a:xfrm>
          <a:off x="4601201" y="452701"/>
          <a:ext cx="1255990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produtos</a:t>
          </a:r>
        </a:p>
      </xdr:txBody>
    </xdr:sp>
    <xdr:clientData/>
  </xdr:twoCellAnchor>
  <xdr:twoCellAnchor editAs="absolute">
    <xdr:from>
      <xdr:col>7</xdr:col>
      <xdr:colOff>200552</xdr:colOff>
      <xdr:row>0</xdr:row>
      <xdr:rowOff>452701</xdr:rowOff>
    </xdr:from>
    <xdr:to>
      <xdr:col>9</xdr:col>
      <xdr:colOff>237342</xdr:colOff>
      <xdr:row>0</xdr:row>
      <xdr:rowOff>761534</xdr:rowOff>
    </xdr:to>
    <xdr:sp macro="[0]!IRPARA_RELATÓRIOS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233150E5-CAC2-4F34-B2A7-B083F9A97650}"/>
            </a:ext>
          </a:extLst>
        </xdr:cNvPr>
        <xdr:cNvSpPr/>
      </xdr:nvSpPr>
      <xdr:spPr>
        <a:xfrm>
          <a:off x="5901429" y="452701"/>
          <a:ext cx="1255990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relatórios</a:t>
          </a:r>
        </a:p>
      </xdr:txBody>
    </xdr:sp>
    <xdr:clientData/>
  </xdr:twoCellAnchor>
  <xdr:twoCellAnchor editAs="absolute">
    <xdr:from>
      <xdr:col>0</xdr:col>
      <xdr:colOff>362779</xdr:colOff>
      <xdr:row>0</xdr:row>
      <xdr:rowOff>42243</xdr:rowOff>
    </xdr:from>
    <xdr:to>
      <xdr:col>0</xdr:col>
      <xdr:colOff>1044437</xdr:colOff>
      <xdr:row>0</xdr:row>
      <xdr:rowOff>723901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0E8E1B1-A01C-480F-839C-B757FBA78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79" y="42243"/>
          <a:ext cx="681658" cy="681658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2</xdr:row>
      <xdr:rowOff>76199</xdr:rowOff>
    </xdr:from>
    <xdr:to>
      <xdr:col>0</xdr:col>
      <xdr:colOff>1190626</xdr:colOff>
      <xdr:row>7</xdr:row>
      <xdr:rowOff>133350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B4C89132-B29F-49C2-8FDE-1E4EF41B3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028699"/>
          <a:ext cx="1009651" cy="10096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10023</xdr:colOff>
      <xdr:row>0</xdr:row>
      <xdr:rowOff>452701</xdr:rowOff>
    </xdr:from>
    <xdr:to>
      <xdr:col>3</xdr:col>
      <xdr:colOff>657727</xdr:colOff>
      <xdr:row>0</xdr:row>
      <xdr:rowOff>761534</xdr:rowOff>
    </xdr:to>
    <xdr:sp macro="[0]!IRPARA_FORMVENDA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A4759EDA-2A2A-44C3-BACC-797E3877491F}"/>
            </a:ext>
          </a:extLst>
        </xdr:cNvPr>
        <xdr:cNvSpPr/>
      </xdr:nvSpPr>
      <xdr:spPr>
        <a:xfrm>
          <a:off x="2000748" y="452701"/>
          <a:ext cx="1255990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form. vendas</a:t>
          </a:r>
        </a:p>
      </xdr:txBody>
    </xdr:sp>
    <xdr:clientData/>
  </xdr:twoCellAnchor>
  <xdr:twoCellAnchor editAs="absolute">
    <xdr:from>
      <xdr:col>3</xdr:col>
      <xdr:colOff>701964</xdr:colOff>
      <xdr:row>0</xdr:row>
      <xdr:rowOff>452701</xdr:rowOff>
    </xdr:from>
    <xdr:to>
      <xdr:col>4</xdr:col>
      <xdr:colOff>219805</xdr:colOff>
      <xdr:row>0</xdr:row>
      <xdr:rowOff>761534</xdr:rowOff>
    </xdr:to>
    <xdr:sp macro="[0]!IRPARA_VENDEDORES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98335AD7-5BCA-4517-B8B8-4379DD523646}"/>
            </a:ext>
          </a:extLst>
        </xdr:cNvPr>
        <xdr:cNvSpPr/>
      </xdr:nvSpPr>
      <xdr:spPr>
        <a:xfrm>
          <a:off x="3300975" y="452701"/>
          <a:ext cx="1255989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vendedores</a:t>
          </a:r>
        </a:p>
      </xdr:txBody>
    </xdr:sp>
    <xdr:clientData/>
  </xdr:twoCellAnchor>
  <xdr:twoCellAnchor editAs="absolute">
    <xdr:from>
      <xdr:col>4</xdr:col>
      <xdr:colOff>264042</xdr:colOff>
      <xdr:row>0</xdr:row>
      <xdr:rowOff>452701</xdr:rowOff>
    </xdr:from>
    <xdr:to>
      <xdr:col>5</xdr:col>
      <xdr:colOff>445348</xdr:colOff>
      <xdr:row>0</xdr:row>
      <xdr:rowOff>761534</xdr:rowOff>
    </xdr:to>
    <xdr:sp macro="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id="{8194D81C-6611-42B0-B507-57FAC57A2D4A}"/>
            </a:ext>
          </a:extLst>
        </xdr:cNvPr>
        <xdr:cNvSpPr/>
      </xdr:nvSpPr>
      <xdr:spPr>
        <a:xfrm>
          <a:off x="4601201" y="452701"/>
          <a:ext cx="1255990" cy="308833"/>
        </a:xfrm>
        <a:prstGeom prst="round2Same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/>
              </a:solidFill>
            </a:rPr>
            <a:t>produtos</a:t>
          </a:r>
        </a:p>
      </xdr:txBody>
    </xdr:sp>
    <xdr:clientData/>
  </xdr:twoCellAnchor>
  <xdr:twoCellAnchor editAs="absolute">
    <xdr:from>
      <xdr:col>5</xdr:col>
      <xdr:colOff>489586</xdr:colOff>
      <xdr:row>0</xdr:row>
      <xdr:rowOff>452701</xdr:rowOff>
    </xdr:from>
    <xdr:to>
      <xdr:col>7</xdr:col>
      <xdr:colOff>526377</xdr:colOff>
      <xdr:row>0</xdr:row>
      <xdr:rowOff>761534</xdr:rowOff>
    </xdr:to>
    <xdr:sp macro="[0]!IRPARA_RELATÓRIOS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B523151B-ADE9-4F62-A26B-09BC468A7BBE}"/>
            </a:ext>
          </a:extLst>
        </xdr:cNvPr>
        <xdr:cNvSpPr/>
      </xdr:nvSpPr>
      <xdr:spPr>
        <a:xfrm>
          <a:off x="5901429" y="452701"/>
          <a:ext cx="1255990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relatórios</a:t>
          </a:r>
        </a:p>
      </xdr:txBody>
    </xdr:sp>
    <xdr:clientData/>
  </xdr:twoCellAnchor>
  <xdr:twoCellAnchor editAs="absolute">
    <xdr:from>
      <xdr:col>0</xdr:col>
      <xdr:colOff>362779</xdr:colOff>
      <xdr:row>0</xdr:row>
      <xdr:rowOff>61293</xdr:rowOff>
    </xdr:from>
    <xdr:to>
      <xdr:col>0</xdr:col>
      <xdr:colOff>1044437</xdr:colOff>
      <xdr:row>0</xdr:row>
      <xdr:rowOff>742951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4C6C34-A2CF-4103-AE9A-B50D3B04C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79" y="61293"/>
          <a:ext cx="681658" cy="681658"/>
        </a:xfrm>
        <a:prstGeom prst="rect">
          <a:avLst/>
        </a:prstGeom>
      </xdr:spPr>
    </xdr:pic>
    <xdr:clientData/>
  </xdr:twoCellAnchor>
  <xdr:twoCellAnchor editAs="oneCell">
    <xdr:from>
      <xdr:col>0</xdr:col>
      <xdr:colOff>39414</xdr:colOff>
      <xdr:row>1</xdr:row>
      <xdr:rowOff>59122</xdr:rowOff>
    </xdr:from>
    <xdr:to>
      <xdr:col>1</xdr:col>
      <xdr:colOff>6062</xdr:colOff>
      <xdr:row>6</xdr:row>
      <xdr:rowOff>78828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613E7D01-2EAF-4BF4-BDE0-789C286CE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14" y="821122"/>
          <a:ext cx="1346131" cy="9722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26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1ED55A1-BD0E-4A96-B257-3569D94B094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10023</xdr:colOff>
      <xdr:row>0</xdr:row>
      <xdr:rowOff>452701</xdr:rowOff>
    </xdr:from>
    <xdr:to>
      <xdr:col>3</xdr:col>
      <xdr:colOff>5141</xdr:colOff>
      <xdr:row>0</xdr:row>
      <xdr:rowOff>761534</xdr:rowOff>
    </xdr:to>
    <xdr:sp macro="[0]!IRPARA_FORMVENDA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7F920B9-7D44-4323-A813-35015B176D89}"/>
            </a:ext>
          </a:extLst>
        </xdr:cNvPr>
        <xdr:cNvSpPr/>
      </xdr:nvSpPr>
      <xdr:spPr>
        <a:xfrm>
          <a:off x="2000748" y="452701"/>
          <a:ext cx="1255990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form. vendas</a:t>
          </a:r>
        </a:p>
      </xdr:txBody>
    </xdr:sp>
    <xdr:clientData/>
  </xdr:twoCellAnchor>
  <xdr:twoCellAnchor editAs="absolute">
    <xdr:from>
      <xdr:col>3</xdr:col>
      <xdr:colOff>49378</xdr:colOff>
      <xdr:row>0</xdr:row>
      <xdr:rowOff>452701</xdr:rowOff>
    </xdr:from>
    <xdr:to>
      <xdr:col>3</xdr:col>
      <xdr:colOff>1300605</xdr:colOff>
      <xdr:row>0</xdr:row>
      <xdr:rowOff>761534</xdr:rowOff>
    </xdr:to>
    <xdr:sp macro="[0]!IRPARA_VENDEDORES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FD35D86D-4A1B-4C21-8CB9-4E14F852F00D}"/>
            </a:ext>
          </a:extLst>
        </xdr:cNvPr>
        <xdr:cNvSpPr/>
      </xdr:nvSpPr>
      <xdr:spPr>
        <a:xfrm>
          <a:off x="3300975" y="452701"/>
          <a:ext cx="1255989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vendedores</a:t>
          </a:r>
        </a:p>
      </xdr:txBody>
    </xdr:sp>
    <xdr:clientData/>
  </xdr:twoCellAnchor>
  <xdr:twoCellAnchor editAs="absolute">
    <xdr:from>
      <xdr:col>3</xdr:col>
      <xdr:colOff>1344842</xdr:colOff>
      <xdr:row>0</xdr:row>
      <xdr:rowOff>452701</xdr:rowOff>
    </xdr:from>
    <xdr:to>
      <xdr:col>4</xdr:col>
      <xdr:colOff>768459</xdr:colOff>
      <xdr:row>0</xdr:row>
      <xdr:rowOff>761534</xdr:rowOff>
    </xdr:to>
    <xdr:sp macro="[0]!IRPARA_PRODUTOS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id="{E5ED26F7-6023-4C96-9AC9-BD61F442F0B2}"/>
            </a:ext>
          </a:extLst>
        </xdr:cNvPr>
        <xdr:cNvSpPr/>
      </xdr:nvSpPr>
      <xdr:spPr>
        <a:xfrm>
          <a:off x="4601201" y="452701"/>
          <a:ext cx="1255990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produtos</a:t>
          </a:r>
        </a:p>
      </xdr:txBody>
    </xdr:sp>
    <xdr:clientData/>
  </xdr:twoCellAnchor>
  <xdr:twoCellAnchor editAs="absolute">
    <xdr:from>
      <xdr:col>4</xdr:col>
      <xdr:colOff>812697</xdr:colOff>
      <xdr:row>0</xdr:row>
      <xdr:rowOff>452701</xdr:rowOff>
    </xdr:from>
    <xdr:to>
      <xdr:col>6</xdr:col>
      <xdr:colOff>72010</xdr:colOff>
      <xdr:row>0</xdr:row>
      <xdr:rowOff>761534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81E61E1A-69FE-40F0-9A76-6B136F5C9C2E}"/>
            </a:ext>
          </a:extLst>
        </xdr:cNvPr>
        <xdr:cNvSpPr/>
      </xdr:nvSpPr>
      <xdr:spPr>
        <a:xfrm>
          <a:off x="5901429" y="452701"/>
          <a:ext cx="1255990" cy="308833"/>
        </a:xfrm>
        <a:prstGeom prst="round2Same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/>
  </xdr:twoCellAnchor>
  <xdr:twoCellAnchor editAs="absolute">
    <xdr:from>
      <xdr:col>0</xdr:col>
      <xdr:colOff>51352</xdr:colOff>
      <xdr:row>0</xdr:row>
      <xdr:rowOff>33959</xdr:rowOff>
    </xdr:from>
    <xdr:to>
      <xdr:col>0</xdr:col>
      <xdr:colOff>1326045</xdr:colOff>
      <xdr:row>4</xdr:row>
      <xdr:rowOff>107674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C2847C5-6D7A-4C1E-9A5D-A9E20B692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52" y="33959"/>
          <a:ext cx="1274693" cy="127469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104360</xdr:rowOff>
    </xdr:from>
    <xdr:to>
      <xdr:col>1</xdr:col>
      <xdr:colOff>0</xdr:colOff>
      <xdr:row>9</xdr:row>
      <xdr:rowOff>169482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566820B0-1704-4E96-88B3-96D5D1F7C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95838"/>
          <a:ext cx="1383196" cy="827122"/>
        </a:xfrm>
        <a:prstGeom prst="rect">
          <a:avLst/>
        </a:prstGeom>
      </xdr:spPr>
    </xdr:pic>
    <xdr:clientData/>
  </xdr:twoCellAnchor>
  <xdr:twoCellAnchor editAs="absolute">
    <xdr:from>
      <xdr:col>4</xdr:col>
      <xdr:colOff>834884</xdr:colOff>
      <xdr:row>1</xdr:row>
      <xdr:rowOff>149915</xdr:rowOff>
    </xdr:from>
    <xdr:to>
      <xdr:col>5</xdr:col>
      <xdr:colOff>1068868</xdr:colOff>
      <xdr:row>3</xdr:row>
      <xdr:rowOff>42241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FDA59D60-AF37-443B-9025-8C0C550380EF}"/>
            </a:ext>
          </a:extLst>
        </xdr:cNvPr>
        <xdr:cNvSpPr/>
      </xdr:nvSpPr>
      <xdr:spPr>
        <a:xfrm>
          <a:off x="5920406" y="911915"/>
          <a:ext cx="1144657" cy="273326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>
                  <a:lumMod val="75000"/>
                </a:schemeClr>
              </a:solidFill>
            </a:rPr>
            <a:t>VENDEDOR</a:t>
          </a:r>
        </a:p>
      </xdr:txBody>
    </xdr:sp>
    <xdr:clientData/>
  </xdr:twoCellAnchor>
  <xdr:twoCellAnchor>
    <xdr:from>
      <xdr:col>1</xdr:col>
      <xdr:colOff>590550</xdr:colOff>
      <xdr:row>6</xdr:row>
      <xdr:rowOff>104775</xdr:rowOff>
    </xdr:from>
    <xdr:to>
      <xdr:col>10</xdr:col>
      <xdr:colOff>209550</xdr:colOff>
      <xdr:row>20</xdr:row>
      <xdr:rowOff>180975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CAD20351-0606-4583-BC7D-989A0B32A3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10023</xdr:colOff>
      <xdr:row>0</xdr:row>
      <xdr:rowOff>452701</xdr:rowOff>
    </xdr:from>
    <xdr:to>
      <xdr:col>3</xdr:col>
      <xdr:colOff>5141</xdr:colOff>
      <xdr:row>0</xdr:row>
      <xdr:rowOff>761534</xdr:rowOff>
    </xdr:to>
    <xdr:sp macro="[0]!IRPARA_FORMVENDA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A589595D-A2DA-4AEE-8E5D-314531C69A7A}"/>
            </a:ext>
          </a:extLst>
        </xdr:cNvPr>
        <xdr:cNvSpPr/>
      </xdr:nvSpPr>
      <xdr:spPr>
        <a:xfrm>
          <a:off x="2000748" y="452701"/>
          <a:ext cx="1252418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form. vendas</a:t>
          </a:r>
        </a:p>
      </xdr:txBody>
    </xdr:sp>
    <xdr:clientData/>
  </xdr:twoCellAnchor>
  <xdr:twoCellAnchor editAs="absolute">
    <xdr:from>
      <xdr:col>3</xdr:col>
      <xdr:colOff>49378</xdr:colOff>
      <xdr:row>0</xdr:row>
      <xdr:rowOff>452701</xdr:rowOff>
    </xdr:from>
    <xdr:to>
      <xdr:col>4</xdr:col>
      <xdr:colOff>329055</xdr:colOff>
      <xdr:row>0</xdr:row>
      <xdr:rowOff>761534</xdr:rowOff>
    </xdr:to>
    <xdr:sp macro="[0]!IRPARA_VENDEDORES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FBD6C785-EE94-4911-AC09-1D6A2CE1B3E4}"/>
            </a:ext>
          </a:extLst>
        </xdr:cNvPr>
        <xdr:cNvSpPr/>
      </xdr:nvSpPr>
      <xdr:spPr>
        <a:xfrm>
          <a:off x="3297403" y="452701"/>
          <a:ext cx="1251227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vendedores</a:t>
          </a:r>
        </a:p>
      </xdr:txBody>
    </xdr:sp>
    <xdr:clientData/>
  </xdr:twoCellAnchor>
  <xdr:twoCellAnchor editAs="absolute">
    <xdr:from>
      <xdr:col>4</xdr:col>
      <xdr:colOff>373292</xdr:colOff>
      <xdr:row>0</xdr:row>
      <xdr:rowOff>452701</xdr:rowOff>
    </xdr:from>
    <xdr:to>
      <xdr:col>5</xdr:col>
      <xdr:colOff>645367</xdr:colOff>
      <xdr:row>0</xdr:row>
      <xdr:rowOff>761534</xdr:rowOff>
    </xdr:to>
    <xdr:sp macro="[0]!IRPARA_PRODUTOS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id="{DA1B4ADA-538C-41A8-8D00-D8ACFE621EFE}"/>
            </a:ext>
          </a:extLst>
        </xdr:cNvPr>
        <xdr:cNvSpPr/>
      </xdr:nvSpPr>
      <xdr:spPr>
        <a:xfrm>
          <a:off x="4592867" y="452701"/>
          <a:ext cx="1252417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produtos</a:t>
          </a:r>
        </a:p>
      </xdr:txBody>
    </xdr:sp>
    <xdr:clientData/>
  </xdr:twoCellAnchor>
  <xdr:twoCellAnchor editAs="absolute">
    <xdr:from>
      <xdr:col>5</xdr:col>
      <xdr:colOff>689605</xdr:colOff>
      <xdr:row>0</xdr:row>
      <xdr:rowOff>452701</xdr:rowOff>
    </xdr:from>
    <xdr:to>
      <xdr:col>6</xdr:col>
      <xdr:colOff>1110967</xdr:colOff>
      <xdr:row>0</xdr:row>
      <xdr:rowOff>761534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168155A3-22AC-4C02-870D-76286F4184EA}"/>
            </a:ext>
          </a:extLst>
        </xdr:cNvPr>
        <xdr:cNvSpPr/>
      </xdr:nvSpPr>
      <xdr:spPr>
        <a:xfrm>
          <a:off x="5889522" y="452701"/>
          <a:ext cx="1250038" cy="308833"/>
        </a:xfrm>
        <a:prstGeom prst="round2Same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/>
  </xdr:twoCellAnchor>
  <xdr:twoCellAnchor editAs="absolute">
    <xdr:from>
      <xdr:col>0</xdr:col>
      <xdr:colOff>51352</xdr:colOff>
      <xdr:row>0</xdr:row>
      <xdr:rowOff>33959</xdr:rowOff>
    </xdr:from>
    <xdr:to>
      <xdr:col>0</xdr:col>
      <xdr:colOff>1326045</xdr:colOff>
      <xdr:row>4</xdr:row>
      <xdr:rowOff>107674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D7BDA61-6BBB-4BC8-B2AC-431A07D1C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52" y="33959"/>
          <a:ext cx="1274693" cy="12738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104360</xdr:rowOff>
    </xdr:from>
    <xdr:to>
      <xdr:col>1</xdr:col>
      <xdr:colOff>2302</xdr:colOff>
      <xdr:row>9</xdr:row>
      <xdr:rowOff>121857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1321F077-78C5-40E8-A09F-79032DDA0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95010"/>
          <a:ext cx="1381125" cy="827122"/>
        </a:xfrm>
        <a:prstGeom prst="rect">
          <a:avLst/>
        </a:prstGeom>
      </xdr:spPr>
    </xdr:pic>
    <xdr:clientData/>
  </xdr:twoCellAnchor>
  <xdr:twoCellAnchor editAs="absolute">
    <xdr:from>
      <xdr:col>6</xdr:col>
      <xdr:colOff>1082852</xdr:colOff>
      <xdr:row>1</xdr:row>
      <xdr:rowOff>149915</xdr:rowOff>
    </xdr:from>
    <xdr:to>
      <xdr:col>7</xdr:col>
      <xdr:colOff>558565</xdr:colOff>
      <xdr:row>3</xdr:row>
      <xdr:rowOff>42241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A7C6898C-2376-4F5A-9B83-F3ED9C21D705}"/>
            </a:ext>
          </a:extLst>
        </xdr:cNvPr>
        <xdr:cNvSpPr/>
      </xdr:nvSpPr>
      <xdr:spPr>
        <a:xfrm>
          <a:off x="7111445" y="911915"/>
          <a:ext cx="675862" cy="273326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>
                  <a:lumMod val="75000"/>
                </a:schemeClr>
              </a:solidFill>
            </a:rPr>
            <a:t>HOJE</a:t>
          </a:r>
        </a:p>
      </xdr:txBody>
    </xdr:sp>
    <xdr:clientData/>
  </xdr:twoCellAnchor>
  <xdr:twoCellAnchor editAs="absolute">
    <xdr:from>
      <xdr:col>7</xdr:col>
      <xdr:colOff>609918</xdr:colOff>
      <xdr:row>1</xdr:row>
      <xdr:rowOff>149915</xdr:rowOff>
    </xdr:from>
    <xdr:to>
      <xdr:col>8</xdr:col>
      <xdr:colOff>249211</xdr:colOff>
      <xdr:row>3</xdr:row>
      <xdr:rowOff>42241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9A901D36-639A-49A0-BEF9-B1C997AA838C}"/>
            </a:ext>
          </a:extLst>
        </xdr:cNvPr>
        <xdr:cNvSpPr/>
      </xdr:nvSpPr>
      <xdr:spPr>
        <a:xfrm>
          <a:off x="7838660" y="911915"/>
          <a:ext cx="639418" cy="273326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>
                  <a:lumMod val="75000"/>
                </a:schemeClr>
              </a:solidFill>
            </a:rPr>
            <a:t>MÊS</a:t>
          </a:r>
        </a:p>
      </xdr:txBody>
    </xdr:sp>
    <xdr:clientData/>
  </xdr:twoCellAnchor>
  <xdr:twoCellAnchor editAs="absolute">
    <xdr:from>
      <xdr:col>5</xdr:col>
      <xdr:colOff>711792</xdr:colOff>
      <xdr:row>1</xdr:row>
      <xdr:rowOff>149915</xdr:rowOff>
    </xdr:from>
    <xdr:to>
      <xdr:col>6</xdr:col>
      <xdr:colOff>1031500</xdr:colOff>
      <xdr:row>3</xdr:row>
      <xdr:rowOff>42241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AA4BD02-2EA7-45DA-A15B-6CD50F91E49C}"/>
            </a:ext>
          </a:extLst>
        </xdr:cNvPr>
        <xdr:cNvSpPr/>
      </xdr:nvSpPr>
      <xdr:spPr>
        <a:xfrm>
          <a:off x="5911709" y="911915"/>
          <a:ext cx="1148384" cy="273326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>
                  <a:lumMod val="75000"/>
                </a:schemeClr>
              </a:solidFill>
            </a:rPr>
            <a:t>VENDEDOR</a:t>
          </a:r>
        </a:p>
      </xdr:txBody>
    </xdr:sp>
    <xdr:clientData/>
  </xdr:twoCellAnchor>
  <xdr:twoCellAnchor>
    <xdr:from>
      <xdr:col>2</xdr:col>
      <xdr:colOff>0</xdr:colOff>
      <xdr:row>21</xdr:row>
      <xdr:rowOff>36634</xdr:rowOff>
    </xdr:from>
    <xdr:to>
      <xdr:col>8</xdr:col>
      <xdr:colOff>7327</xdr:colOff>
      <xdr:row>29</xdr:row>
      <xdr:rowOff>175845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3898CC7A-139A-4BEF-91A4-96D498FE69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10023</xdr:colOff>
      <xdr:row>0</xdr:row>
      <xdr:rowOff>452701</xdr:rowOff>
    </xdr:from>
    <xdr:to>
      <xdr:col>3</xdr:col>
      <xdr:colOff>5141</xdr:colOff>
      <xdr:row>0</xdr:row>
      <xdr:rowOff>761534</xdr:rowOff>
    </xdr:to>
    <xdr:sp macro="[0]!IRPARA_FORMVENDA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FEAFA17-36A9-47A6-8AF4-500802109447}"/>
            </a:ext>
          </a:extLst>
        </xdr:cNvPr>
        <xdr:cNvSpPr/>
      </xdr:nvSpPr>
      <xdr:spPr>
        <a:xfrm>
          <a:off x="2000748" y="452701"/>
          <a:ext cx="1252418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form. vendas</a:t>
          </a:r>
        </a:p>
      </xdr:txBody>
    </xdr:sp>
    <xdr:clientData/>
  </xdr:twoCellAnchor>
  <xdr:twoCellAnchor editAs="absolute">
    <xdr:from>
      <xdr:col>3</xdr:col>
      <xdr:colOff>49378</xdr:colOff>
      <xdr:row>0</xdr:row>
      <xdr:rowOff>452701</xdr:rowOff>
    </xdr:from>
    <xdr:to>
      <xdr:col>3</xdr:col>
      <xdr:colOff>1300605</xdr:colOff>
      <xdr:row>0</xdr:row>
      <xdr:rowOff>761534</xdr:rowOff>
    </xdr:to>
    <xdr:sp macro="[0]!IRPARA_VENDEDORES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21A4827D-B875-4521-B9B4-8C1E6275152C}"/>
            </a:ext>
          </a:extLst>
        </xdr:cNvPr>
        <xdr:cNvSpPr/>
      </xdr:nvSpPr>
      <xdr:spPr>
        <a:xfrm>
          <a:off x="3297403" y="452701"/>
          <a:ext cx="1251227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vendedores</a:t>
          </a:r>
        </a:p>
      </xdr:txBody>
    </xdr:sp>
    <xdr:clientData/>
  </xdr:twoCellAnchor>
  <xdr:twoCellAnchor editAs="absolute">
    <xdr:from>
      <xdr:col>3</xdr:col>
      <xdr:colOff>1344842</xdr:colOff>
      <xdr:row>0</xdr:row>
      <xdr:rowOff>452701</xdr:rowOff>
    </xdr:from>
    <xdr:to>
      <xdr:col>4</xdr:col>
      <xdr:colOff>768459</xdr:colOff>
      <xdr:row>0</xdr:row>
      <xdr:rowOff>761534</xdr:rowOff>
    </xdr:to>
    <xdr:sp macro="[0]!IRPARA_PRODUTOS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id="{8484E11B-6C6E-40C4-974A-4D3D4B0D96E4}"/>
            </a:ext>
          </a:extLst>
        </xdr:cNvPr>
        <xdr:cNvSpPr/>
      </xdr:nvSpPr>
      <xdr:spPr>
        <a:xfrm>
          <a:off x="4592867" y="452701"/>
          <a:ext cx="1252417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produtos</a:t>
          </a:r>
        </a:p>
      </xdr:txBody>
    </xdr:sp>
    <xdr:clientData/>
  </xdr:twoCellAnchor>
  <xdr:twoCellAnchor editAs="absolute">
    <xdr:from>
      <xdr:col>4</xdr:col>
      <xdr:colOff>812697</xdr:colOff>
      <xdr:row>0</xdr:row>
      <xdr:rowOff>452701</xdr:rowOff>
    </xdr:from>
    <xdr:to>
      <xdr:col>6</xdr:col>
      <xdr:colOff>319660</xdr:colOff>
      <xdr:row>0</xdr:row>
      <xdr:rowOff>761534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36A4FBA4-CEAD-488F-953F-F0D0C9677F1C}"/>
            </a:ext>
          </a:extLst>
        </xdr:cNvPr>
        <xdr:cNvSpPr/>
      </xdr:nvSpPr>
      <xdr:spPr>
        <a:xfrm>
          <a:off x="5889522" y="452701"/>
          <a:ext cx="1250038" cy="308833"/>
        </a:xfrm>
        <a:prstGeom prst="round2Same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/>
  </xdr:twoCellAnchor>
  <xdr:twoCellAnchor editAs="absolute">
    <xdr:from>
      <xdr:col>0</xdr:col>
      <xdr:colOff>51352</xdr:colOff>
      <xdr:row>0</xdr:row>
      <xdr:rowOff>33959</xdr:rowOff>
    </xdr:from>
    <xdr:to>
      <xdr:col>0</xdr:col>
      <xdr:colOff>1326045</xdr:colOff>
      <xdr:row>4</xdr:row>
      <xdr:rowOff>107674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C447FCA-6676-48BE-8724-539E69AC7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52" y="33959"/>
          <a:ext cx="1274693" cy="12738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104360</xdr:rowOff>
    </xdr:from>
    <xdr:to>
      <xdr:col>1</xdr:col>
      <xdr:colOff>0</xdr:colOff>
      <xdr:row>9</xdr:row>
      <xdr:rowOff>169482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E3F8A5A-5F8C-4241-B45F-D3A7C7CF9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95010"/>
          <a:ext cx="1381125" cy="827122"/>
        </a:xfrm>
        <a:prstGeom prst="rect">
          <a:avLst/>
        </a:prstGeom>
      </xdr:spPr>
    </xdr:pic>
    <xdr:clientData/>
  </xdr:twoCellAnchor>
  <xdr:twoCellAnchor editAs="absolute">
    <xdr:from>
      <xdr:col>6</xdr:col>
      <xdr:colOff>291545</xdr:colOff>
      <xdr:row>1</xdr:row>
      <xdr:rowOff>149915</xdr:rowOff>
    </xdr:from>
    <xdr:to>
      <xdr:col>7</xdr:col>
      <xdr:colOff>357807</xdr:colOff>
      <xdr:row>3</xdr:row>
      <xdr:rowOff>42241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C26141C-C67E-47C3-A247-7BE9FF83A60C}"/>
            </a:ext>
          </a:extLst>
        </xdr:cNvPr>
        <xdr:cNvSpPr/>
      </xdr:nvSpPr>
      <xdr:spPr>
        <a:xfrm>
          <a:off x="7111445" y="911915"/>
          <a:ext cx="675862" cy="273326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>
                  <a:lumMod val="75000"/>
                </a:schemeClr>
              </a:solidFill>
            </a:rPr>
            <a:t>HOJE</a:t>
          </a:r>
        </a:p>
      </xdr:txBody>
    </xdr:sp>
    <xdr:clientData/>
  </xdr:twoCellAnchor>
  <xdr:twoCellAnchor editAs="absolute">
    <xdr:from>
      <xdr:col>7</xdr:col>
      <xdr:colOff>409160</xdr:colOff>
      <xdr:row>1</xdr:row>
      <xdr:rowOff>149915</xdr:rowOff>
    </xdr:from>
    <xdr:to>
      <xdr:col>8</xdr:col>
      <xdr:colOff>438978</xdr:colOff>
      <xdr:row>3</xdr:row>
      <xdr:rowOff>42241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C3588C94-2ED9-499C-BE04-4183A3FFA741}"/>
            </a:ext>
          </a:extLst>
        </xdr:cNvPr>
        <xdr:cNvSpPr/>
      </xdr:nvSpPr>
      <xdr:spPr>
        <a:xfrm>
          <a:off x="7838660" y="911915"/>
          <a:ext cx="639418" cy="273326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>
                  <a:lumMod val="75000"/>
                </a:schemeClr>
              </a:solidFill>
            </a:rPr>
            <a:t>MÊS</a:t>
          </a:r>
        </a:p>
      </xdr:txBody>
    </xdr:sp>
    <xdr:clientData/>
  </xdr:twoCellAnchor>
  <xdr:twoCellAnchor editAs="absolute">
    <xdr:from>
      <xdr:col>4</xdr:col>
      <xdr:colOff>834884</xdr:colOff>
      <xdr:row>1</xdr:row>
      <xdr:rowOff>149915</xdr:rowOff>
    </xdr:from>
    <xdr:to>
      <xdr:col>6</xdr:col>
      <xdr:colOff>240193</xdr:colOff>
      <xdr:row>3</xdr:row>
      <xdr:rowOff>42241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B1FD71D-174C-4869-B2FB-A388FA6FBDC3}"/>
            </a:ext>
          </a:extLst>
        </xdr:cNvPr>
        <xdr:cNvSpPr/>
      </xdr:nvSpPr>
      <xdr:spPr>
        <a:xfrm>
          <a:off x="5911709" y="911915"/>
          <a:ext cx="1148384" cy="273326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>
                  <a:lumMod val="75000"/>
                </a:schemeClr>
              </a:solidFill>
            </a:rPr>
            <a:t>VENDEDOR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10023</xdr:colOff>
      <xdr:row>0</xdr:row>
      <xdr:rowOff>452701</xdr:rowOff>
    </xdr:from>
    <xdr:to>
      <xdr:col>3</xdr:col>
      <xdr:colOff>5141</xdr:colOff>
      <xdr:row>0</xdr:row>
      <xdr:rowOff>761534</xdr:rowOff>
    </xdr:to>
    <xdr:sp macro="[0]!IRPARA_FORMVENDA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0224D96-64B7-48DA-A144-346B1596B37C}"/>
            </a:ext>
          </a:extLst>
        </xdr:cNvPr>
        <xdr:cNvSpPr/>
      </xdr:nvSpPr>
      <xdr:spPr>
        <a:xfrm>
          <a:off x="2000748" y="452701"/>
          <a:ext cx="1252418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form. vendas</a:t>
          </a:r>
        </a:p>
      </xdr:txBody>
    </xdr:sp>
    <xdr:clientData/>
  </xdr:twoCellAnchor>
  <xdr:twoCellAnchor editAs="absolute">
    <xdr:from>
      <xdr:col>3</xdr:col>
      <xdr:colOff>49378</xdr:colOff>
      <xdr:row>0</xdr:row>
      <xdr:rowOff>452701</xdr:rowOff>
    </xdr:from>
    <xdr:to>
      <xdr:col>3</xdr:col>
      <xdr:colOff>1300605</xdr:colOff>
      <xdr:row>0</xdr:row>
      <xdr:rowOff>761534</xdr:rowOff>
    </xdr:to>
    <xdr:sp macro="[0]!IRPARA_VENDEDORES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E065A04E-AFD0-4EF2-B452-FE774095E5CC}"/>
            </a:ext>
          </a:extLst>
        </xdr:cNvPr>
        <xdr:cNvSpPr/>
      </xdr:nvSpPr>
      <xdr:spPr>
        <a:xfrm>
          <a:off x="3297403" y="452701"/>
          <a:ext cx="1251227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vendedores</a:t>
          </a:r>
        </a:p>
      </xdr:txBody>
    </xdr:sp>
    <xdr:clientData/>
  </xdr:twoCellAnchor>
  <xdr:twoCellAnchor editAs="absolute">
    <xdr:from>
      <xdr:col>3</xdr:col>
      <xdr:colOff>1344842</xdr:colOff>
      <xdr:row>0</xdr:row>
      <xdr:rowOff>452701</xdr:rowOff>
    </xdr:from>
    <xdr:to>
      <xdr:col>4</xdr:col>
      <xdr:colOff>768459</xdr:colOff>
      <xdr:row>0</xdr:row>
      <xdr:rowOff>761534</xdr:rowOff>
    </xdr:to>
    <xdr:sp macro="[0]!IRPARA_PRODUTOS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id="{7BF1FF8E-E45C-4366-BC86-CA95AF807FA5}"/>
            </a:ext>
          </a:extLst>
        </xdr:cNvPr>
        <xdr:cNvSpPr/>
      </xdr:nvSpPr>
      <xdr:spPr>
        <a:xfrm>
          <a:off x="4592867" y="452701"/>
          <a:ext cx="1252417" cy="308833"/>
        </a:xfrm>
        <a:prstGeom prst="round2Same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produtos</a:t>
          </a:r>
        </a:p>
      </xdr:txBody>
    </xdr:sp>
    <xdr:clientData/>
  </xdr:twoCellAnchor>
  <xdr:twoCellAnchor editAs="absolute">
    <xdr:from>
      <xdr:col>4</xdr:col>
      <xdr:colOff>812697</xdr:colOff>
      <xdr:row>0</xdr:row>
      <xdr:rowOff>452701</xdr:rowOff>
    </xdr:from>
    <xdr:to>
      <xdr:col>6</xdr:col>
      <xdr:colOff>319660</xdr:colOff>
      <xdr:row>0</xdr:row>
      <xdr:rowOff>761534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5ECAAFD9-8493-4BA9-B5F4-25321B22B3FE}"/>
            </a:ext>
          </a:extLst>
        </xdr:cNvPr>
        <xdr:cNvSpPr/>
      </xdr:nvSpPr>
      <xdr:spPr>
        <a:xfrm>
          <a:off x="5889522" y="452701"/>
          <a:ext cx="1250038" cy="308833"/>
        </a:xfrm>
        <a:prstGeom prst="round2Same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/>
  </xdr:twoCellAnchor>
  <xdr:twoCellAnchor editAs="absolute">
    <xdr:from>
      <xdr:col>0</xdr:col>
      <xdr:colOff>51352</xdr:colOff>
      <xdr:row>0</xdr:row>
      <xdr:rowOff>33959</xdr:rowOff>
    </xdr:from>
    <xdr:to>
      <xdr:col>0</xdr:col>
      <xdr:colOff>1326045</xdr:colOff>
      <xdr:row>4</xdr:row>
      <xdr:rowOff>107674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89BDE353-9319-47FE-9350-E2848DDED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52" y="33959"/>
          <a:ext cx="1274693" cy="12738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104360</xdr:rowOff>
    </xdr:from>
    <xdr:to>
      <xdr:col>1</xdr:col>
      <xdr:colOff>0</xdr:colOff>
      <xdr:row>9</xdr:row>
      <xdr:rowOff>169482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B9783A5-F65E-42FB-8DC6-1FC5DBC25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95010"/>
          <a:ext cx="1381125" cy="827122"/>
        </a:xfrm>
        <a:prstGeom prst="rect">
          <a:avLst/>
        </a:prstGeom>
      </xdr:spPr>
    </xdr:pic>
    <xdr:clientData/>
  </xdr:twoCellAnchor>
  <xdr:twoCellAnchor editAs="absolute">
    <xdr:from>
      <xdr:col>6</xdr:col>
      <xdr:colOff>291545</xdr:colOff>
      <xdr:row>1</xdr:row>
      <xdr:rowOff>149915</xdr:rowOff>
    </xdr:from>
    <xdr:to>
      <xdr:col>7</xdr:col>
      <xdr:colOff>357807</xdr:colOff>
      <xdr:row>3</xdr:row>
      <xdr:rowOff>42241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93D9BB0-9AE8-421E-98E7-BB57A4685997}"/>
            </a:ext>
          </a:extLst>
        </xdr:cNvPr>
        <xdr:cNvSpPr/>
      </xdr:nvSpPr>
      <xdr:spPr>
        <a:xfrm>
          <a:off x="7111445" y="911915"/>
          <a:ext cx="675862" cy="273326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>
                  <a:lumMod val="75000"/>
                </a:schemeClr>
              </a:solidFill>
            </a:rPr>
            <a:t>HOJE</a:t>
          </a:r>
        </a:p>
      </xdr:txBody>
    </xdr:sp>
    <xdr:clientData/>
  </xdr:twoCellAnchor>
  <xdr:twoCellAnchor editAs="absolute">
    <xdr:from>
      <xdr:col>7</xdr:col>
      <xdr:colOff>409160</xdr:colOff>
      <xdr:row>1</xdr:row>
      <xdr:rowOff>149915</xdr:rowOff>
    </xdr:from>
    <xdr:to>
      <xdr:col>8</xdr:col>
      <xdr:colOff>438978</xdr:colOff>
      <xdr:row>3</xdr:row>
      <xdr:rowOff>42241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3A0549C6-2CF0-4A93-B6D0-B6348C31AB81}"/>
            </a:ext>
          </a:extLst>
        </xdr:cNvPr>
        <xdr:cNvSpPr/>
      </xdr:nvSpPr>
      <xdr:spPr>
        <a:xfrm>
          <a:off x="7838660" y="911915"/>
          <a:ext cx="639418" cy="273326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>
                  <a:lumMod val="75000"/>
                </a:schemeClr>
              </a:solidFill>
            </a:rPr>
            <a:t>MÊS</a:t>
          </a:r>
        </a:p>
      </xdr:txBody>
    </xdr:sp>
    <xdr:clientData/>
  </xdr:twoCellAnchor>
  <xdr:twoCellAnchor editAs="absolute">
    <xdr:from>
      <xdr:col>4</xdr:col>
      <xdr:colOff>834884</xdr:colOff>
      <xdr:row>1</xdr:row>
      <xdr:rowOff>149915</xdr:rowOff>
    </xdr:from>
    <xdr:to>
      <xdr:col>6</xdr:col>
      <xdr:colOff>240193</xdr:colOff>
      <xdr:row>3</xdr:row>
      <xdr:rowOff>42241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5FF31A44-F866-419E-B0F6-17B715FA3F77}"/>
            </a:ext>
          </a:extLst>
        </xdr:cNvPr>
        <xdr:cNvSpPr/>
      </xdr:nvSpPr>
      <xdr:spPr>
        <a:xfrm>
          <a:off x="5911709" y="911915"/>
          <a:ext cx="1148384" cy="273326"/>
        </a:xfrm>
        <a:prstGeom prst="roundRect">
          <a:avLst/>
        </a:prstGeom>
        <a:gradFill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>
                  <a:lumMod val="75000"/>
                </a:schemeClr>
              </a:solidFill>
            </a:rPr>
            <a:t>VENDEDOR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fessor Eugênio" refreshedDate="43785.709925578703" createdVersion="6" refreshedVersion="6" minRefreshableVersion="3" recordCount="54" xr:uid="{FC036CB3-701D-42F8-B89A-9CD036657ED4}">
  <cacheSource type="worksheet">
    <worksheetSource ref="B4:K75" sheet="LANÇAMENTOS_VENDAS"/>
  </cacheSource>
  <cacheFields count="10">
    <cacheField name="DATA" numFmtId="14">
      <sharedItems containsSemiMixedTypes="0" containsNonDate="0" containsDate="1" containsString="0" minDate="2019-08-05T00:00:00" maxDate="2019-11-27T00:00:00"/>
    </cacheField>
    <cacheField name="DIA" numFmtId="0">
      <sharedItems containsSemiMixedTypes="0" containsString="0" containsNumber="1" containsInteger="1" minValue="2" maxValue="30"/>
    </cacheField>
    <cacheField name="MÊS" numFmtId="0">
      <sharedItems containsSemiMixedTypes="0" containsString="0" containsNumber="1" containsInteger="1" minValue="8" maxValue="11" count="4">
        <n v="11"/>
        <n v="10"/>
        <n v="9"/>
        <n v="8"/>
      </sharedItems>
    </cacheField>
    <cacheField name="ANO" numFmtId="0">
      <sharedItems containsSemiMixedTypes="0" containsString="0" containsNumber="1" containsInteger="1" minValue="2019" maxValue="2019" count="1">
        <n v="2019"/>
      </sharedItems>
    </cacheField>
    <cacheField name="VENDEDOR" numFmtId="0">
      <sharedItems count="3">
        <s v="EUGÊNIO MÁRCIO"/>
        <s v="JOÃO PAULO"/>
        <s v="PAULA LINS"/>
      </sharedItems>
    </cacheField>
    <cacheField name="CÓDIGO" numFmtId="0">
      <sharedItems containsSemiMixedTypes="0" containsString="0" containsNumber="1" containsInteger="1" minValue="1010" maxValue="1080"/>
    </cacheField>
    <cacheField name="PRODUTO" numFmtId="0">
      <sharedItems count="8">
        <s v="PC GAMER i5 8GB"/>
        <s v="COMPUTADOR INTEL i5 3,2G"/>
        <s v="CÂMERA USB 720P"/>
        <s v="PEN-DRIVE 16GB"/>
        <s v="MOUSE GOLDENTEC"/>
        <s v="TECLADO ABNT USB"/>
        <s v="HD 500GB SAMSUNG"/>
        <s v="NOTEBOOK i5 DELL"/>
      </sharedItems>
    </cacheField>
    <cacheField name="VALOR" numFmtId="165">
      <sharedItems containsSemiMixedTypes="0" containsString="0" containsNumber="1" containsInteger="1" minValue="15" maxValue="3450"/>
    </cacheField>
    <cacheField name="QUANTIDADE" numFmtId="0">
      <sharedItems containsSemiMixedTypes="0" containsString="0" containsNumber="1" containsInteger="1" minValue="2" maxValue="40"/>
    </cacheField>
    <cacheField name="TOTAL" numFmtId="165">
      <sharedItems containsSemiMixedTypes="0" containsString="0" containsNumber="1" containsInteger="1" minValue="30" maxValue="379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d v="2019-11-09T00:00:00"/>
    <n v="9"/>
    <x v="0"/>
    <x v="0"/>
    <x v="0"/>
    <n v="1020"/>
    <x v="0"/>
    <n v="2299"/>
    <n v="3"/>
    <n v="6897"/>
  </r>
  <r>
    <d v="2019-11-16T00:00:00"/>
    <n v="16"/>
    <x v="0"/>
    <x v="0"/>
    <x v="1"/>
    <n v="1010"/>
    <x v="1"/>
    <n v="1450"/>
    <n v="20"/>
    <n v="29000"/>
  </r>
  <r>
    <d v="2019-11-16T00:00:00"/>
    <n v="16"/>
    <x v="0"/>
    <x v="0"/>
    <x v="1"/>
    <n v="1020"/>
    <x v="0"/>
    <n v="2299"/>
    <n v="2"/>
    <n v="4598"/>
  </r>
  <r>
    <d v="2019-11-16T00:00:00"/>
    <n v="16"/>
    <x v="0"/>
    <x v="0"/>
    <x v="2"/>
    <n v="1010"/>
    <x v="1"/>
    <n v="1450"/>
    <n v="3"/>
    <n v="4350"/>
  </r>
  <r>
    <d v="2019-11-16T00:00:00"/>
    <n v="16"/>
    <x v="0"/>
    <x v="0"/>
    <x v="0"/>
    <n v="1010"/>
    <x v="1"/>
    <n v="1450"/>
    <n v="10"/>
    <n v="14500"/>
  </r>
  <r>
    <d v="2019-11-09T00:00:00"/>
    <n v="9"/>
    <x v="0"/>
    <x v="0"/>
    <x v="2"/>
    <n v="1060"/>
    <x v="2"/>
    <n v="60"/>
    <n v="11"/>
    <n v="660"/>
  </r>
  <r>
    <d v="2019-11-09T00:00:00"/>
    <n v="9"/>
    <x v="0"/>
    <x v="0"/>
    <x v="0"/>
    <n v="1080"/>
    <x v="3"/>
    <n v="35"/>
    <n v="20"/>
    <n v="7000"/>
  </r>
  <r>
    <d v="2019-11-09T00:00:00"/>
    <n v="9"/>
    <x v="0"/>
    <x v="0"/>
    <x v="0"/>
    <n v="1050"/>
    <x v="4"/>
    <n v="15"/>
    <n v="30"/>
    <n v="450"/>
  </r>
  <r>
    <d v="2019-11-09T00:00:00"/>
    <n v="9"/>
    <x v="0"/>
    <x v="0"/>
    <x v="1"/>
    <n v="1060"/>
    <x v="2"/>
    <n v="60"/>
    <n v="10"/>
    <n v="600"/>
  </r>
  <r>
    <d v="2019-11-09T00:00:00"/>
    <n v="9"/>
    <x v="0"/>
    <x v="0"/>
    <x v="2"/>
    <n v="1040"/>
    <x v="5"/>
    <n v="35"/>
    <n v="10"/>
    <n v="350"/>
  </r>
  <r>
    <d v="2019-11-09T00:00:00"/>
    <n v="9"/>
    <x v="0"/>
    <x v="0"/>
    <x v="0"/>
    <n v="1040"/>
    <x v="5"/>
    <n v="35"/>
    <n v="16"/>
    <n v="560"/>
  </r>
  <r>
    <d v="2019-10-30T00:00:00"/>
    <n v="30"/>
    <x v="1"/>
    <x v="0"/>
    <x v="1"/>
    <n v="1010"/>
    <x v="1"/>
    <n v="1450"/>
    <n v="10"/>
    <n v="14500"/>
  </r>
  <r>
    <d v="2019-10-29T00:00:00"/>
    <n v="29"/>
    <x v="1"/>
    <x v="0"/>
    <x v="2"/>
    <n v="1060"/>
    <x v="2"/>
    <n v="60"/>
    <n v="4"/>
    <n v="240"/>
  </r>
  <r>
    <d v="2019-10-25T00:00:00"/>
    <n v="25"/>
    <x v="1"/>
    <x v="0"/>
    <x v="0"/>
    <n v="1020"/>
    <x v="0"/>
    <n v="2299"/>
    <n v="6"/>
    <n v="13794"/>
  </r>
  <r>
    <d v="2019-10-23T00:00:00"/>
    <n v="23"/>
    <x v="1"/>
    <x v="0"/>
    <x v="1"/>
    <n v="1050"/>
    <x v="4"/>
    <n v="15"/>
    <n v="16"/>
    <n v="240"/>
  </r>
  <r>
    <d v="2019-10-22T00:00:00"/>
    <n v="22"/>
    <x v="1"/>
    <x v="0"/>
    <x v="2"/>
    <n v="1070"/>
    <x v="6"/>
    <n v="250"/>
    <n v="15"/>
    <n v="3750"/>
  </r>
  <r>
    <d v="2019-10-20T00:00:00"/>
    <n v="20"/>
    <x v="1"/>
    <x v="0"/>
    <x v="1"/>
    <n v="1050"/>
    <x v="4"/>
    <n v="15"/>
    <n v="30"/>
    <n v="450"/>
  </r>
  <r>
    <d v="2019-10-19T00:00:00"/>
    <n v="19"/>
    <x v="1"/>
    <x v="0"/>
    <x v="1"/>
    <n v="1040"/>
    <x v="5"/>
    <n v="35"/>
    <n v="12"/>
    <n v="420"/>
  </r>
  <r>
    <d v="2019-10-18T00:00:00"/>
    <n v="18"/>
    <x v="1"/>
    <x v="0"/>
    <x v="2"/>
    <n v="1040"/>
    <x v="5"/>
    <n v="35"/>
    <n v="40"/>
    <n v="1400"/>
  </r>
  <r>
    <d v="2019-10-17T00:00:00"/>
    <n v="17"/>
    <x v="1"/>
    <x v="0"/>
    <x v="0"/>
    <n v="1030"/>
    <x v="7"/>
    <n v="3450"/>
    <n v="6"/>
    <n v="20700"/>
  </r>
  <r>
    <d v="2019-10-15T00:00:00"/>
    <n v="15"/>
    <x v="1"/>
    <x v="0"/>
    <x v="2"/>
    <n v="1030"/>
    <x v="7"/>
    <n v="3450"/>
    <n v="4"/>
    <n v="13800"/>
  </r>
  <r>
    <d v="2019-10-13T00:00:00"/>
    <n v="13"/>
    <x v="1"/>
    <x v="0"/>
    <x v="1"/>
    <n v="1050"/>
    <x v="4"/>
    <n v="15"/>
    <n v="6"/>
    <n v="90"/>
  </r>
  <r>
    <d v="2019-10-12T00:00:00"/>
    <n v="12"/>
    <x v="1"/>
    <x v="0"/>
    <x v="1"/>
    <n v="1050"/>
    <x v="4"/>
    <n v="15"/>
    <n v="5"/>
    <n v="75"/>
  </r>
  <r>
    <d v="2019-10-11T00:00:00"/>
    <n v="11"/>
    <x v="1"/>
    <x v="0"/>
    <x v="1"/>
    <n v="1060"/>
    <x v="2"/>
    <n v="60"/>
    <n v="3"/>
    <n v="180"/>
  </r>
  <r>
    <d v="2019-10-07T00:00:00"/>
    <n v="7"/>
    <x v="1"/>
    <x v="0"/>
    <x v="1"/>
    <n v="1070"/>
    <x v="6"/>
    <n v="250"/>
    <n v="5"/>
    <n v="1250"/>
  </r>
  <r>
    <d v="2019-10-05T00:00:00"/>
    <n v="5"/>
    <x v="1"/>
    <x v="0"/>
    <x v="2"/>
    <n v="1040"/>
    <x v="5"/>
    <n v="35"/>
    <n v="5"/>
    <n v="175"/>
  </r>
  <r>
    <d v="2019-10-03T00:00:00"/>
    <n v="3"/>
    <x v="1"/>
    <x v="0"/>
    <x v="2"/>
    <n v="1020"/>
    <x v="0"/>
    <n v="2299"/>
    <n v="6"/>
    <n v="13794"/>
  </r>
  <r>
    <d v="2019-10-02T00:00:00"/>
    <n v="2"/>
    <x v="1"/>
    <x v="0"/>
    <x v="0"/>
    <n v="1010"/>
    <x v="1"/>
    <n v="1450"/>
    <n v="5"/>
    <n v="7250"/>
  </r>
  <r>
    <d v="2019-09-30T00:00:00"/>
    <n v="30"/>
    <x v="2"/>
    <x v="0"/>
    <x v="0"/>
    <n v="1030"/>
    <x v="7"/>
    <n v="3450"/>
    <n v="5"/>
    <n v="17250"/>
  </r>
  <r>
    <d v="2019-09-26T00:00:00"/>
    <n v="26"/>
    <x v="2"/>
    <x v="0"/>
    <x v="2"/>
    <n v="1050"/>
    <x v="4"/>
    <n v="15"/>
    <n v="6"/>
    <n v="90"/>
  </r>
  <r>
    <d v="2019-11-26T00:00:00"/>
    <n v="26"/>
    <x v="0"/>
    <x v="0"/>
    <x v="1"/>
    <n v="1070"/>
    <x v="6"/>
    <n v="250"/>
    <n v="10"/>
    <n v="2500"/>
  </r>
  <r>
    <d v="2019-09-24T00:00:00"/>
    <n v="24"/>
    <x v="2"/>
    <x v="0"/>
    <x v="1"/>
    <n v="1030"/>
    <x v="7"/>
    <n v="3450"/>
    <n v="11"/>
    <n v="37950"/>
  </r>
  <r>
    <d v="2019-09-22T00:00:00"/>
    <n v="22"/>
    <x v="2"/>
    <x v="0"/>
    <x v="2"/>
    <n v="1080"/>
    <x v="3"/>
    <n v="35"/>
    <n v="20"/>
    <n v="700"/>
  </r>
  <r>
    <d v="2019-09-20T00:00:00"/>
    <n v="20"/>
    <x v="2"/>
    <x v="0"/>
    <x v="1"/>
    <n v="1080"/>
    <x v="3"/>
    <n v="35"/>
    <n v="4"/>
    <n v="140"/>
  </r>
  <r>
    <d v="2019-09-17T00:00:00"/>
    <n v="17"/>
    <x v="2"/>
    <x v="0"/>
    <x v="2"/>
    <n v="1010"/>
    <x v="1"/>
    <n v="1450"/>
    <n v="6"/>
    <n v="8700"/>
  </r>
  <r>
    <d v="2019-09-15T00:00:00"/>
    <n v="15"/>
    <x v="2"/>
    <x v="0"/>
    <x v="0"/>
    <n v="1040"/>
    <x v="5"/>
    <n v="35"/>
    <n v="5"/>
    <n v="175"/>
  </r>
  <r>
    <d v="2019-09-11T00:00:00"/>
    <n v="11"/>
    <x v="2"/>
    <x v="0"/>
    <x v="1"/>
    <n v="1020"/>
    <x v="0"/>
    <n v="2299"/>
    <n v="4"/>
    <n v="9196"/>
  </r>
  <r>
    <d v="2019-09-06T00:00:00"/>
    <n v="6"/>
    <x v="2"/>
    <x v="0"/>
    <x v="2"/>
    <n v="1020"/>
    <x v="0"/>
    <n v="2299"/>
    <n v="8"/>
    <n v="18392"/>
  </r>
  <r>
    <d v="2019-09-05T00:00:00"/>
    <n v="5"/>
    <x v="2"/>
    <x v="0"/>
    <x v="1"/>
    <n v="1020"/>
    <x v="0"/>
    <n v="2299"/>
    <n v="4"/>
    <n v="9196"/>
  </r>
  <r>
    <d v="2019-09-02T00:00:00"/>
    <n v="2"/>
    <x v="2"/>
    <x v="0"/>
    <x v="0"/>
    <n v="1030"/>
    <x v="7"/>
    <n v="3450"/>
    <n v="3"/>
    <n v="10350"/>
  </r>
  <r>
    <d v="2019-08-28T00:00:00"/>
    <n v="28"/>
    <x v="3"/>
    <x v="0"/>
    <x v="1"/>
    <n v="1030"/>
    <x v="7"/>
    <n v="3450"/>
    <n v="6"/>
    <n v="20700"/>
  </r>
  <r>
    <d v="2019-08-25T00:00:00"/>
    <n v="25"/>
    <x v="3"/>
    <x v="0"/>
    <x v="2"/>
    <n v="1040"/>
    <x v="5"/>
    <n v="35"/>
    <n v="6"/>
    <n v="210"/>
  </r>
  <r>
    <d v="2019-08-19T00:00:00"/>
    <n v="19"/>
    <x v="3"/>
    <x v="0"/>
    <x v="2"/>
    <n v="1070"/>
    <x v="6"/>
    <n v="250"/>
    <n v="3"/>
    <n v="750"/>
  </r>
  <r>
    <d v="2019-08-19T00:00:00"/>
    <n v="19"/>
    <x v="3"/>
    <x v="0"/>
    <x v="0"/>
    <n v="1080"/>
    <x v="3"/>
    <n v="35"/>
    <n v="10"/>
    <n v="350"/>
  </r>
  <r>
    <d v="2019-08-16T00:00:00"/>
    <n v="16"/>
    <x v="3"/>
    <x v="0"/>
    <x v="1"/>
    <n v="1030"/>
    <x v="7"/>
    <n v="3450"/>
    <n v="2"/>
    <n v="6900"/>
  </r>
  <r>
    <d v="2019-08-12T00:00:00"/>
    <n v="12"/>
    <x v="3"/>
    <x v="0"/>
    <x v="1"/>
    <n v="1060"/>
    <x v="2"/>
    <n v="60"/>
    <n v="3"/>
    <n v="180"/>
  </r>
  <r>
    <d v="2019-08-05T00:00:00"/>
    <n v="5"/>
    <x v="3"/>
    <x v="0"/>
    <x v="2"/>
    <n v="1020"/>
    <x v="0"/>
    <n v="2299"/>
    <n v="3"/>
    <n v="6897"/>
  </r>
  <r>
    <d v="2019-08-10T00:00:00"/>
    <n v="10"/>
    <x v="3"/>
    <x v="0"/>
    <x v="0"/>
    <n v="1010"/>
    <x v="1"/>
    <n v="1450"/>
    <n v="3"/>
    <n v="4350"/>
  </r>
  <r>
    <d v="2019-11-09T00:00:00"/>
    <n v="9"/>
    <x v="0"/>
    <x v="0"/>
    <x v="0"/>
    <n v="1050"/>
    <x v="4"/>
    <n v="15"/>
    <n v="3"/>
    <n v="45"/>
  </r>
  <r>
    <d v="2019-11-09T00:00:00"/>
    <n v="9"/>
    <x v="0"/>
    <x v="0"/>
    <x v="0"/>
    <n v="1010"/>
    <x v="1"/>
    <n v="1450"/>
    <n v="4"/>
    <n v="5800"/>
  </r>
  <r>
    <d v="2019-11-09T00:00:00"/>
    <n v="9"/>
    <x v="0"/>
    <x v="0"/>
    <x v="0"/>
    <n v="1060"/>
    <x v="2"/>
    <n v="60"/>
    <n v="3"/>
    <n v="180"/>
  </r>
  <r>
    <d v="2019-11-09T00:00:00"/>
    <n v="9"/>
    <x v="0"/>
    <x v="0"/>
    <x v="1"/>
    <n v="1010"/>
    <x v="1"/>
    <n v="1450"/>
    <n v="3"/>
    <n v="4350"/>
  </r>
  <r>
    <d v="2019-11-09T00:00:00"/>
    <n v="9"/>
    <x v="0"/>
    <x v="0"/>
    <x v="1"/>
    <n v="1030"/>
    <x v="7"/>
    <n v="3450"/>
    <n v="2"/>
    <n v="6900"/>
  </r>
  <r>
    <d v="2019-11-09T00:00:00"/>
    <n v="9"/>
    <x v="0"/>
    <x v="0"/>
    <x v="1"/>
    <n v="1050"/>
    <x v="4"/>
    <n v="15"/>
    <n v="2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B6F420-B087-4474-B36A-43BE827D0CEC}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5:B9" firstHeaderRow="1" firstDataRow="1" firstDataCol="1" rowPageCount="3" colPageCount="1"/>
  <pivotFields count="10">
    <pivotField numFmtId="14" showAll="0"/>
    <pivotField showAll="0"/>
    <pivotField axis="axisPage" showAll="0">
      <items count="5">
        <item x="3"/>
        <item x="2"/>
        <item x="1"/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axis="axisRow" showAll="0">
      <items count="9">
        <item x="2"/>
        <item x="1"/>
        <item x="6"/>
        <item x="4"/>
        <item x="7"/>
        <item x="0"/>
        <item x="3"/>
        <item x="5"/>
        <item t="default"/>
      </items>
    </pivotField>
    <pivotField numFmtId="165" showAll="0"/>
    <pivotField showAll="0"/>
    <pivotField dataField="1" numFmtId="165" showAll="0"/>
  </pivotFields>
  <rowFields count="1">
    <field x="6"/>
  </rowFields>
  <rowItems count="4">
    <i>
      <x/>
    </i>
    <i>
      <x v="1"/>
    </i>
    <i>
      <x v="7"/>
    </i>
    <i t="grand">
      <x/>
    </i>
  </rowItems>
  <colItems count="1">
    <i/>
  </colItems>
  <pageFields count="3">
    <pageField fld="4" item="2" hier="-1"/>
    <pageField fld="2" item="3" hier="-1"/>
    <pageField fld="3" item="0" hier="-1"/>
  </pageFields>
  <dataFields count="1">
    <dataField name="Soma de TOTAL" fld="9" baseField="0" baseItem="0"/>
  </dataFields>
  <chartFormats count="5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EB1CE-646E-4015-845B-147C7DB73CEA}">
  <sheetPr codeName="Planilha1"/>
  <dimension ref="A1:L23"/>
  <sheetViews>
    <sheetView showGridLines="0" showRowColHeaders="0" tabSelected="1" zoomScaleNormal="100" workbookViewId="0">
      <selection activeCell="C5" sqref="C5"/>
    </sheetView>
  </sheetViews>
  <sheetFormatPr defaultRowHeight="15" x14ac:dyDescent="0.25"/>
  <cols>
    <col min="1" max="1" width="20.7109375" style="3" customWidth="1"/>
    <col min="2" max="2" width="16" style="1" customWidth="1"/>
    <col min="3" max="3" width="26.28515625" style="1" customWidth="1"/>
    <col min="4" max="16384" width="9.140625" style="1"/>
  </cols>
  <sheetData>
    <row r="1" spans="1:3" s="2" customFormat="1" ht="60" customHeight="1" x14ac:dyDescent="0.25"/>
    <row r="5" spans="1:3" s="12" customFormat="1" ht="20.100000000000001" customHeight="1" x14ac:dyDescent="0.25">
      <c r="A5" s="11"/>
      <c r="B5" s="15" t="s">
        <v>15</v>
      </c>
      <c r="C5" s="21">
        <f ca="1">TODAY()</f>
        <v>44086</v>
      </c>
    </row>
    <row r="6" spans="1:3" ht="6" customHeight="1" x14ac:dyDescent="0.25">
      <c r="B6" s="16"/>
    </row>
    <row r="7" spans="1:3" s="12" customFormat="1" ht="19.5" customHeight="1" x14ac:dyDescent="0.25">
      <c r="A7" s="11"/>
      <c r="B7" s="15" t="s">
        <v>22</v>
      </c>
      <c r="C7" s="20"/>
    </row>
    <row r="8" spans="1:3" ht="6" customHeight="1" x14ac:dyDescent="0.25">
      <c r="B8" s="16"/>
    </row>
    <row r="9" spans="1:3" s="12" customFormat="1" ht="20.100000000000001" customHeight="1" x14ac:dyDescent="0.25">
      <c r="A9" s="11"/>
      <c r="B9" s="15" t="s">
        <v>19</v>
      </c>
      <c r="C9" s="20"/>
    </row>
    <row r="10" spans="1:3" ht="6" customHeight="1" x14ac:dyDescent="0.25">
      <c r="B10" s="16"/>
    </row>
    <row r="11" spans="1:3" s="12" customFormat="1" ht="20.100000000000001" customHeight="1" x14ac:dyDescent="0.25">
      <c r="A11" s="11"/>
      <c r="B11" s="15" t="s">
        <v>5</v>
      </c>
      <c r="C11" s="13" t="str">
        <f>IFERROR(VLOOKUP(C9,PRODUTOS_TABELA,2,0),"")</f>
        <v/>
      </c>
    </row>
    <row r="12" spans="1:3" ht="6" customHeight="1" x14ac:dyDescent="0.25">
      <c r="B12" s="16"/>
    </row>
    <row r="13" spans="1:3" s="12" customFormat="1" ht="20.100000000000001" customHeight="1" x14ac:dyDescent="0.25">
      <c r="A13" s="11"/>
      <c r="B13" s="15" t="s">
        <v>6</v>
      </c>
      <c r="C13" s="14" t="str">
        <f>IFERROR(VLOOKUP(C9,PRODUTOS_TABELA,3,0),"")</f>
        <v/>
      </c>
    </row>
    <row r="14" spans="1:3" ht="6" customHeight="1" x14ac:dyDescent="0.25">
      <c r="B14" s="16"/>
    </row>
    <row r="15" spans="1:3" s="12" customFormat="1" ht="20.100000000000001" customHeight="1" x14ac:dyDescent="0.25">
      <c r="A15" s="11"/>
      <c r="B15" s="15" t="s">
        <v>20</v>
      </c>
      <c r="C15" s="20"/>
    </row>
    <row r="22" spans="3:12" hidden="1" x14ac:dyDescent="0.25">
      <c r="C22" s="9" t="s">
        <v>15</v>
      </c>
      <c r="D22" s="9" t="s">
        <v>16</v>
      </c>
      <c r="E22" s="9" t="s">
        <v>17</v>
      </c>
      <c r="F22" s="9" t="s">
        <v>18</v>
      </c>
      <c r="G22" s="9" t="s">
        <v>22</v>
      </c>
      <c r="H22" s="9" t="s">
        <v>19</v>
      </c>
      <c r="I22" s="9" t="s">
        <v>5</v>
      </c>
      <c r="J22" s="9" t="s">
        <v>6</v>
      </c>
      <c r="K22" s="9" t="s">
        <v>20</v>
      </c>
      <c r="L22" s="9" t="s">
        <v>21</v>
      </c>
    </row>
    <row r="23" spans="3:12" hidden="1" x14ac:dyDescent="0.25">
      <c r="C23" s="17">
        <f ca="1">C5</f>
        <v>44086</v>
      </c>
      <c r="D23" s="18">
        <f ca="1">DAY(C23)</f>
        <v>12</v>
      </c>
      <c r="E23" s="18">
        <f ca="1">MONTH(C23)</f>
        <v>9</v>
      </c>
      <c r="F23" s="18">
        <f ca="1">YEAR(C23)</f>
        <v>2020</v>
      </c>
      <c r="G23" s="18">
        <f>C7</f>
        <v>0</v>
      </c>
      <c r="H23" s="18">
        <f>C9</f>
        <v>0</v>
      </c>
      <c r="I23" s="18" t="str">
        <f>C11</f>
        <v/>
      </c>
      <c r="J23" s="19" t="str">
        <f>C13</f>
        <v/>
      </c>
      <c r="K23" s="18">
        <f>C15</f>
        <v>0</v>
      </c>
      <c r="L23" s="19" t="e">
        <f>J23*K23</f>
        <v>#VALUE!</v>
      </c>
    </row>
  </sheetData>
  <sheetProtection sheet="1" objects="1" scenarios="1" selectLockedCells="1"/>
  <dataValidations count="2">
    <dataValidation type="list" allowBlank="1" showInputMessage="1" showErrorMessage="1" sqref="C7" xr:uid="{89AFD3E3-2014-4B75-B232-ABA028DA46EA}">
      <formula1>VENDEDORES_NOME</formula1>
    </dataValidation>
    <dataValidation type="list" allowBlank="1" showInputMessage="1" showErrorMessage="1" sqref="C9" xr:uid="{8938436F-4926-4B1C-8B9D-A2C5977120BA}">
      <formula1>PRODUTOS_CÓDIGO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B2FE-A107-4FEC-A2FD-12DB5FE4E41C}">
  <sheetPr codeName="Planilha2"/>
  <dimension ref="A1:C8"/>
  <sheetViews>
    <sheetView showGridLines="0" showRowColHeaders="0" zoomScaleNormal="100" workbookViewId="0">
      <selection activeCell="C5" sqref="C5"/>
    </sheetView>
  </sheetViews>
  <sheetFormatPr defaultRowHeight="15" x14ac:dyDescent="0.25"/>
  <cols>
    <col min="1" max="1" width="20.7109375" style="8" customWidth="1"/>
    <col min="2" max="2" width="9.140625" style="1"/>
    <col min="3" max="3" width="19.140625" style="1" customWidth="1"/>
    <col min="4" max="16384" width="9.140625" style="1"/>
  </cols>
  <sheetData>
    <row r="1" spans="3:3" s="2" customFormat="1" ht="60" customHeight="1" x14ac:dyDescent="0.25"/>
    <row r="5" spans="3:3" x14ac:dyDescent="0.25">
      <c r="C5" s="5" t="s">
        <v>0</v>
      </c>
    </row>
    <row r="6" spans="3:3" x14ac:dyDescent="0.25">
      <c r="C6" s="4" t="s">
        <v>1</v>
      </c>
    </row>
    <row r="7" spans="3:3" x14ac:dyDescent="0.25">
      <c r="C7" s="4" t="s">
        <v>2</v>
      </c>
    </row>
    <row r="8" spans="3:3" x14ac:dyDescent="0.25">
      <c r="C8" s="4" t="s">
        <v>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344BA-7B95-4CC9-9A68-FC8610FE4890}">
  <sheetPr codeName="Planilha3"/>
  <dimension ref="A1:E13"/>
  <sheetViews>
    <sheetView showGridLines="0" showRowColHeaders="0" zoomScaleNormal="100" workbookViewId="0">
      <selection activeCell="C5" sqref="C5"/>
    </sheetView>
  </sheetViews>
  <sheetFormatPr defaultRowHeight="15" x14ac:dyDescent="0.25"/>
  <cols>
    <col min="1" max="1" width="20.7109375" style="8" customWidth="1"/>
    <col min="2" max="3" width="9.140625" style="1"/>
    <col min="4" max="4" width="26.140625" style="1" customWidth="1"/>
    <col min="5" max="5" width="16.140625" style="1" customWidth="1"/>
    <col min="6" max="16384" width="9.140625" style="1"/>
  </cols>
  <sheetData>
    <row r="1" spans="3:5" s="2" customFormat="1" ht="60" customHeight="1" x14ac:dyDescent="0.25"/>
    <row r="5" spans="3:5" x14ac:dyDescent="0.25">
      <c r="C5" s="7" t="s">
        <v>48</v>
      </c>
      <c r="D5" s="7" t="s">
        <v>5</v>
      </c>
      <c r="E5" s="7" t="s">
        <v>6</v>
      </c>
    </row>
    <row r="6" spans="3:5" x14ac:dyDescent="0.25">
      <c r="C6" s="4">
        <v>1010</v>
      </c>
      <c r="D6" s="4" t="s">
        <v>7</v>
      </c>
      <c r="E6" s="6">
        <v>1450</v>
      </c>
    </row>
    <row r="7" spans="3:5" x14ac:dyDescent="0.25">
      <c r="C7" s="4">
        <v>1020</v>
      </c>
      <c r="D7" s="4" t="s">
        <v>8</v>
      </c>
      <c r="E7" s="6">
        <v>2299</v>
      </c>
    </row>
    <row r="8" spans="3:5" x14ac:dyDescent="0.25">
      <c r="C8" s="4">
        <v>1030</v>
      </c>
      <c r="D8" s="4" t="s">
        <v>9</v>
      </c>
      <c r="E8" s="6">
        <v>3450</v>
      </c>
    </row>
    <row r="9" spans="3:5" x14ac:dyDescent="0.25">
      <c r="C9" s="4">
        <v>1040</v>
      </c>
      <c r="D9" s="4" t="s">
        <v>10</v>
      </c>
      <c r="E9" s="6">
        <v>35</v>
      </c>
    </row>
    <row r="10" spans="3:5" x14ac:dyDescent="0.25">
      <c r="C10" s="4">
        <v>1050</v>
      </c>
      <c r="D10" s="4" t="s">
        <v>11</v>
      </c>
      <c r="E10" s="6">
        <v>15</v>
      </c>
    </row>
    <row r="11" spans="3:5" x14ac:dyDescent="0.25">
      <c r="C11" s="4">
        <v>1060</v>
      </c>
      <c r="D11" s="4" t="s">
        <v>12</v>
      </c>
      <c r="E11" s="6">
        <v>60</v>
      </c>
    </row>
    <row r="12" spans="3:5" x14ac:dyDescent="0.25">
      <c r="C12" s="4">
        <v>1070</v>
      </c>
      <c r="D12" s="4" t="s">
        <v>13</v>
      </c>
      <c r="E12" s="6">
        <v>250</v>
      </c>
    </row>
    <row r="13" spans="3:5" x14ac:dyDescent="0.25">
      <c r="C13" s="4">
        <v>1080</v>
      </c>
      <c r="D13" s="4" t="s">
        <v>14</v>
      </c>
      <c r="E13" s="6">
        <v>35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344E0-4BB3-4078-9188-153264C72773}">
  <sheetPr codeName="Planilha9"/>
  <dimension ref="A1:B9"/>
  <sheetViews>
    <sheetView workbookViewId="0">
      <selection activeCell="B1" sqref="B1"/>
    </sheetView>
  </sheetViews>
  <sheetFormatPr defaultRowHeight="15" x14ac:dyDescent="0.25"/>
  <cols>
    <col min="1" max="1" width="26" bestFit="1" customWidth="1"/>
    <col min="2" max="3" width="14.7109375" bestFit="1" customWidth="1"/>
  </cols>
  <sheetData>
    <row r="1" spans="1:2" x14ac:dyDescent="0.25">
      <c r="A1" s="48" t="s">
        <v>22</v>
      </c>
      <c r="B1" t="s">
        <v>2</v>
      </c>
    </row>
    <row r="2" spans="1:2" x14ac:dyDescent="0.25">
      <c r="A2" s="48" t="s">
        <v>17</v>
      </c>
      <c r="B2" s="49">
        <v>11</v>
      </c>
    </row>
    <row r="3" spans="1:2" x14ac:dyDescent="0.25">
      <c r="A3" s="48" t="s">
        <v>18</v>
      </c>
      <c r="B3" s="49">
        <v>2019</v>
      </c>
    </row>
    <row r="5" spans="1:2" x14ac:dyDescent="0.25">
      <c r="A5" s="48" t="s">
        <v>45</v>
      </c>
      <c r="B5" t="s">
        <v>47</v>
      </c>
    </row>
    <row r="6" spans="1:2" x14ac:dyDescent="0.25">
      <c r="A6" s="49" t="s">
        <v>12</v>
      </c>
      <c r="B6" s="50">
        <v>660</v>
      </c>
    </row>
    <row r="7" spans="1:2" x14ac:dyDescent="0.25">
      <c r="A7" s="49" t="s">
        <v>7</v>
      </c>
      <c r="B7" s="50">
        <v>4350</v>
      </c>
    </row>
    <row r="8" spans="1:2" x14ac:dyDescent="0.25">
      <c r="A8" s="49" t="s">
        <v>10</v>
      </c>
      <c r="B8" s="50">
        <v>350</v>
      </c>
    </row>
    <row r="9" spans="1:2" x14ac:dyDescent="0.25">
      <c r="A9" s="49" t="s">
        <v>46</v>
      </c>
      <c r="B9" s="50">
        <v>5360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55F0E-802F-41AA-B657-29B4A9D27F30}">
  <sheetPr codeName="Planilha5"/>
  <dimension ref="B4:W75"/>
  <sheetViews>
    <sheetView zoomScale="70" zoomScaleNormal="70" workbookViewId="0">
      <selection activeCell="B6" sqref="B6"/>
    </sheetView>
  </sheetViews>
  <sheetFormatPr defaultRowHeight="15" x14ac:dyDescent="0.25"/>
  <cols>
    <col min="1" max="1" width="5.28515625" customWidth="1"/>
    <col min="2" max="2" width="14.140625" customWidth="1"/>
    <col min="3" max="3" width="6.42578125" customWidth="1"/>
    <col min="4" max="4" width="8.5703125" customWidth="1"/>
    <col min="5" max="5" width="9" customWidth="1"/>
    <col min="6" max="6" width="28.5703125" customWidth="1"/>
    <col min="7" max="7" width="10.42578125" customWidth="1"/>
    <col min="8" max="8" width="41" customWidth="1"/>
    <col min="9" max="9" width="14" customWidth="1"/>
    <col min="10" max="10" width="12.85546875" customWidth="1"/>
    <col min="11" max="11" width="20.140625" customWidth="1"/>
  </cols>
  <sheetData>
    <row r="4" spans="2:23" x14ac:dyDescent="0.25">
      <c r="B4" s="9" t="s">
        <v>15</v>
      </c>
      <c r="C4" s="22" t="s">
        <v>16</v>
      </c>
      <c r="D4" s="22" t="s">
        <v>17</v>
      </c>
      <c r="E4" s="22" t="s">
        <v>18</v>
      </c>
      <c r="F4" s="22" t="s">
        <v>22</v>
      </c>
      <c r="G4" s="9" t="s">
        <v>19</v>
      </c>
      <c r="H4" s="22" t="s">
        <v>5</v>
      </c>
      <c r="I4" s="9" t="s">
        <v>6</v>
      </c>
      <c r="J4" s="22" t="s">
        <v>20</v>
      </c>
      <c r="K4" s="22" t="s">
        <v>21</v>
      </c>
    </row>
    <row r="5" spans="2:23" x14ac:dyDescent="0.25">
      <c r="B5" s="17"/>
      <c r="C5" s="18"/>
      <c r="D5" s="18"/>
      <c r="E5" s="18"/>
      <c r="F5" s="18"/>
      <c r="G5" s="18"/>
      <c r="H5" s="18"/>
      <c r="I5" s="19"/>
      <c r="J5" s="18"/>
      <c r="K5" s="19"/>
      <c r="N5" s="17">
        <v>43778</v>
      </c>
      <c r="O5" s="18">
        <v>9</v>
      </c>
      <c r="P5" s="18">
        <v>11</v>
      </c>
      <c r="Q5" s="18">
        <v>2019</v>
      </c>
      <c r="R5" s="18" t="s">
        <v>1</v>
      </c>
      <c r="S5" s="18">
        <v>1020</v>
      </c>
      <c r="T5" s="18" t="s">
        <v>8</v>
      </c>
      <c r="U5" s="19">
        <v>2299</v>
      </c>
      <c r="V5" s="18">
        <v>3</v>
      </c>
      <c r="W5" s="19">
        <v>6897</v>
      </c>
    </row>
    <row r="6" spans="2:23" x14ac:dyDescent="0.25">
      <c r="B6" s="17">
        <v>43811</v>
      </c>
      <c r="C6" s="18">
        <v>12</v>
      </c>
      <c r="D6" s="18">
        <v>12</v>
      </c>
      <c r="E6" s="18">
        <v>2019</v>
      </c>
      <c r="F6" s="18" t="s">
        <v>1</v>
      </c>
      <c r="G6" s="18">
        <v>1010</v>
      </c>
      <c r="H6" s="18" t="s">
        <v>7</v>
      </c>
      <c r="I6" s="19">
        <v>1450</v>
      </c>
      <c r="J6" s="18">
        <v>30</v>
      </c>
      <c r="K6" s="19">
        <v>43500</v>
      </c>
      <c r="N6" s="17">
        <v>43797</v>
      </c>
      <c r="O6" s="18">
        <v>28</v>
      </c>
      <c r="P6" s="18">
        <v>11</v>
      </c>
      <c r="Q6" s="18">
        <v>2019</v>
      </c>
      <c r="R6" s="18" t="s">
        <v>3</v>
      </c>
      <c r="S6" s="18">
        <v>1050</v>
      </c>
      <c r="T6" s="18" t="s">
        <v>11</v>
      </c>
      <c r="U6" s="19">
        <v>15</v>
      </c>
      <c r="V6" s="18">
        <v>20</v>
      </c>
      <c r="W6" s="19">
        <v>300</v>
      </c>
    </row>
    <row r="7" spans="2:23" x14ac:dyDescent="0.25">
      <c r="B7" s="17">
        <v>43811</v>
      </c>
      <c r="C7" s="18">
        <v>12</v>
      </c>
      <c r="D7" s="18">
        <v>12</v>
      </c>
      <c r="E7" s="18">
        <v>2019</v>
      </c>
      <c r="F7" s="18" t="s">
        <v>1</v>
      </c>
      <c r="G7" s="18">
        <v>1020</v>
      </c>
      <c r="H7" s="18" t="s">
        <v>8</v>
      </c>
      <c r="I7" s="19">
        <v>2299</v>
      </c>
      <c r="J7" s="18">
        <v>50</v>
      </c>
      <c r="K7" s="19">
        <v>114950</v>
      </c>
      <c r="N7" s="17">
        <v>43797</v>
      </c>
      <c r="O7" s="18">
        <v>28</v>
      </c>
      <c r="P7" s="18">
        <v>11</v>
      </c>
      <c r="Q7" s="18">
        <v>2019</v>
      </c>
      <c r="R7" s="18" t="s">
        <v>2</v>
      </c>
      <c r="S7" s="18">
        <v>1050</v>
      </c>
      <c r="T7" s="18" t="s">
        <v>11</v>
      </c>
      <c r="U7" s="19">
        <v>15</v>
      </c>
      <c r="V7" s="18">
        <v>8</v>
      </c>
      <c r="W7" s="19">
        <v>120</v>
      </c>
    </row>
    <row r="8" spans="2:23" x14ac:dyDescent="0.25">
      <c r="B8" s="17">
        <v>43811</v>
      </c>
      <c r="C8" s="18">
        <v>12</v>
      </c>
      <c r="D8" s="18">
        <v>12</v>
      </c>
      <c r="E8" s="18">
        <v>2019</v>
      </c>
      <c r="F8" s="18" t="s">
        <v>2</v>
      </c>
      <c r="G8" s="18">
        <v>1020</v>
      </c>
      <c r="H8" s="18" t="s">
        <v>8</v>
      </c>
      <c r="I8" s="19">
        <v>2299</v>
      </c>
      <c r="J8" s="18">
        <v>10</v>
      </c>
      <c r="K8" s="19">
        <v>22990</v>
      </c>
      <c r="N8" s="17">
        <v>43797</v>
      </c>
      <c r="O8" s="18">
        <v>28</v>
      </c>
      <c r="P8" s="18">
        <v>11</v>
      </c>
      <c r="Q8" s="18">
        <v>2019</v>
      </c>
      <c r="R8" s="18" t="s">
        <v>2</v>
      </c>
      <c r="S8" s="18">
        <v>1030</v>
      </c>
      <c r="T8" s="18" t="s">
        <v>9</v>
      </c>
      <c r="U8" s="19">
        <v>3450</v>
      </c>
      <c r="V8" s="18">
        <v>10</v>
      </c>
      <c r="W8" s="19">
        <v>34500</v>
      </c>
    </row>
    <row r="9" spans="2:23" x14ac:dyDescent="0.25">
      <c r="B9" s="17">
        <v>43810</v>
      </c>
      <c r="C9" s="18">
        <v>11</v>
      </c>
      <c r="D9" s="18">
        <v>12</v>
      </c>
      <c r="E9" s="18">
        <v>2019</v>
      </c>
      <c r="F9" s="18" t="s">
        <v>3</v>
      </c>
      <c r="G9" s="18">
        <v>1020</v>
      </c>
      <c r="H9" s="18" t="s">
        <v>8</v>
      </c>
      <c r="I9" s="19">
        <v>2299</v>
      </c>
      <c r="J9" s="18">
        <v>2</v>
      </c>
      <c r="K9" s="19">
        <v>4598</v>
      </c>
      <c r="N9" s="17">
        <v>43797</v>
      </c>
      <c r="O9" s="18">
        <v>28</v>
      </c>
      <c r="P9" s="18">
        <v>11</v>
      </c>
      <c r="Q9" s="18">
        <v>2019</v>
      </c>
      <c r="R9" s="18" t="s">
        <v>1</v>
      </c>
      <c r="S9" s="18">
        <v>1010</v>
      </c>
      <c r="T9" s="18" t="s">
        <v>7</v>
      </c>
      <c r="U9" s="19">
        <v>1450</v>
      </c>
      <c r="V9" s="18">
        <v>2</v>
      </c>
      <c r="W9" s="19">
        <v>2900</v>
      </c>
    </row>
    <row r="10" spans="2:23" x14ac:dyDescent="0.25">
      <c r="B10" s="17">
        <v>43806</v>
      </c>
      <c r="C10" s="18">
        <v>7</v>
      </c>
      <c r="D10" s="18">
        <v>12</v>
      </c>
      <c r="E10" s="18">
        <v>2019</v>
      </c>
      <c r="F10" s="18" t="s">
        <v>3</v>
      </c>
      <c r="G10" s="18">
        <v>1040</v>
      </c>
      <c r="H10" s="18" t="s">
        <v>10</v>
      </c>
      <c r="I10" s="19">
        <v>35</v>
      </c>
      <c r="J10" s="18">
        <v>50</v>
      </c>
      <c r="K10" s="19">
        <v>1750</v>
      </c>
      <c r="N10" s="17">
        <v>43785</v>
      </c>
      <c r="O10" s="18">
        <v>16</v>
      </c>
      <c r="P10" s="18">
        <v>11</v>
      </c>
      <c r="Q10" s="18">
        <v>2019</v>
      </c>
      <c r="R10" s="18" t="s">
        <v>3</v>
      </c>
      <c r="S10" s="18">
        <v>1010</v>
      </c>
      <c r="T10" s="18" t="s">
        <v>7</v>
      </c>
      <c r="U10" s="19">
        <v>1450</v>
      </c>
      <c r="V10" s="18">
        <v>20</v>
      </c>
      <c r="W10" s="19">
        <v>29000</v>
      </c>
    </row>
    <row r="11" spans="2:23" x14ac:dyDescent="0.25">
      <c r="B11" s="17">
        <v>43806</v>
      </c>
      <c r="C11" s="18">
        <v>7</v>
      </c>
      <c r="D11" s="18">
        <v>12</v>
      </c>
      <c r="E11" s="18">
        <v>2019</v>
      </c>
      <c r="F11" s="18" t="s">
        <v>3</v>
      </c>
      <c r="G11" s="18">
        <v>1070</v>
      </c>
      <c r="H11" s="18" t="s">
        <v>13</v>
      </c>
      <c r="I11" s="19">
        <v>250</v>
      </c>
      <c r="J11" s="18">
        <v>20</v>
      </c>
      <c r="K11" s="19">
        <v>5000</v>
      </c>
      <c r="N11" s="17">
        <v>43785</v>
      </c>
      <c r="O11" s="18">
        <v>16</v>
      </c>
      <c r="P11" s="18">
        <v>11</v>
      </c>
      <c r="Q11" s="18">
        <v>2019</v>
      </c>
      <c r="R11" s="18" t="s">
        <v>3</v>
      </c>
      <c r="S11" s="18">
        <v>1020</v>
      </c>
      <c r="T11" s="18" t="s">
        <v>8</v>
      </c>
      <c r="U11" s="19">
        <v>2299</v>
      </c>
      <c r="V11" s="18">
        <v>2</v>
      </c>
      <c r="W11" s="19">
        <v>4598</v>
      </c>
    </row>
    <row r="12" spans="2:23" x14ac:dyDescent="0.25">
      <c r="B12" s="17">
        <v>43806</v>
      </c>
      <c r="C12" s="18">
        <v>7</v>
      </c>
      <c r="D12" s="18">
        <v>12</v>
      </c>
      <c r="E12" s="18">
        <v>2019</v>
      </c>
      <c r="F12" s="18" t="s">
        <v>1</v>
      </c>
      <c r="G12" s="18">
        <v>1050</v>
      </c>
      <c r="H12" s="18" t="s">
        <v>11</v>
      </c>
      <c r="I12" s="19">
        <v>15</v>
      </c>
      <c r="J12" s="18">
        <v>10</v>
      </c>
      <c r="K12" s="19">
        <v>150</v>
      </c>
      <c r="N12" s="17">
        <v>43785</v>
      </c>
      <c r="O12" s="18">
        <v>16</v>
      </c>
      <c r="P12" s="18">
        <v>11</v>
      </c>
      <c r="Q12" s="18">
        <v>2019</v>
      </c>
      <c r="R12" s="18" t="s">
        <v>2</v>
      </c>
      <c r="S12" s="18">
        <v>1010</v>
      </c>
      <c r="T12" s="18" t="s">
        <v>7</v>
      </c>
      <c r="U12" s="19">
        <v>1450</v>
      </c>
      <c r="V12" s="18">
        <v>3</v>
      </c>
      <c r="W12" s="19">
        <v>4350</v>
      </c>
    </row>
    <row r="13" spans="2:23" x14ac:dyDescent="0.25">
      <c r="B13" s="17">
        <v>43802</v>
      </c>
      <c r="C13" s="18">
        <v>3</v>
      </c>
      <c r="D13" s="18">
        <v>12</v>
      </c>
      <c r="E13" s="18">
        <v>2019</v>
      </c>
      <c r="F13" s="18" t="s">
        <v>1</v>
      </c>
      <c r="G13" s="18">
        <v>1010</v>
      </c>
      <c r="H13" s="18" t="s">
        <v>7</v>
      </c>
      <c r="I13" s="19">
        <v>1450</v>
      </c>
      <c r="J13" s="18">
        <v>2</v>
      </c>
      <c r="K13" s="19">
        <v>2900</v>
      </c>
      <c r="N13" s="17">
        <v>43785</v>
      </c>
      <c r="O13" s="18">
        <v>16</v>
      </c>
      <c r="P13" s="18">
        <v>11</v>
      </c>
      <c r="Q13" s="18">
        <v>2019</v>
      </c>
      <c r="R13" s="18" t="s">
        <v>1</v>
      </c>
      <c r="S13" s="18">
        <v>1010</v>
      </c>
      <c r="T13" s="18" t="s">
        <v>7</v>
      </c>
      <c r="U13" s="19">
        <v>1450</v>
      </c>
      <c r="V13" s="18">
        <v>10</v>
      </c>
      <c r="W13" s="19">
        <v>14500</v>
      </c>
    </row>
    <row r="14" spans="2:23" x14ac:dyDescent="0.25">
      <c r="B14" s="17">
        <v>43797</v>
      </c>
      <c r="C14" s="18">
        <v>28</v>
      </c>
      <c r="D14" s="18">
        <v>11</v>
      </c>
      <c r="E14" s="18">
        <v>2019</v>
      </c>
      <c r="F14" s="18" t="s">
        <v>2</v>
      </c>
      <c r="G14" s="18">
        <v>1040</v>
      </c>
      <c r="H14" s="18" t="s">
        <v>10</v>
      </c>
      <c r="I14" s="19">
        <v>35</v>
      </c>
      <c r="J14" s="18">
        <v>100</v>
      </c>
      <c r="K14" s="19">
        <v>3500</v>
      </c>
      <c r="N14" s="17">
        <v>43778</v>
      </c>
      <c r="O14" s="18">
        <v>9</v>
      </c>
      <c r="P14" s="18">
        <v>11</v>
      </c>
      <c r="Q14" s="18">
        <v>2019</v>
      </c>
      <c r="R14" s="18" t="s">
        <v>2</v>
      </c>
      <c r="S14" s="18">
        <v>1060</v>
      </c>
      <c r="T14" s="18" t="s">
        <v>12</v>
      </c>
      <c r="U14" s="19">
        <v>60</v>
      </c>
      <c r="V14" s="18">
        <v>11</v>
      </c>
      <c r="W14" s="19">
        <v>660</v>
      </c>
    </row>
    <row r="15" spans="2:23" x14ac:dyDescent="0.25">
      <c r="B15" s="17">
        <v>43797</v>
      </c>
      <c r="C15" s="18">
        <v>28</v>
      </c>
      <c r="D15" s="18">
        <v>11</v>
      </c>
      <c r="E15" s="18">
        <v>2019</v>
      </c>
      <c r="F15" s="18" t="s">
        <v>1</v>
      </c>
      <c r="G15" s="18">
        <v>1040</v>
      </c>
      <c r="H15" s="18" t="s">
        <v>10</v>
      </c>
      <c r="I15" s="19">
        <v>35</v>
      </c>
      <c r="J15" s="18">
        <v>30</v>
      </c>
      <c r="K15" s="19">
        <v>1050</v>
      </c>
      <c r="N15" s="17">
        <v>43778</v>
      </c>
      <c r="O15" s="18">
        <v>9</v>
      </c>
      <c r="P15" s="18">
        <v>11</v>
      </c>
      <c r="Q15" s="18">
        <v>2019</v>
      </c>
      <c r="R15" s="18" t="s">
        <v>1</v>
      </c>
      <c r="S15" s="18">
        <v>1080</v>
      </c>
      <c r="T15" s="18" t="s">
        <v>14</v>
      </c>
      <c r="U15" s="19">
        <v>35</v>
      </c>
      <c r="V15" s="18">
        <v>20</v>
      </c>
      <c r="W15" s="19">
        <v>7000</v>
      </c>
    </row>
    <row r="16" spans="2:23" x14ac:dyDescent="0.25">
      <c r="B16" s="17">
        <v>43797</v>
      </c>
      <c r="C16" s="18">
        <v>28</v>
      </c>
      <c r="D16" s="18">
        <v>11</v>
      </c>
      <c r="E16" s="18">
        <v>2019</v>
      </c>
      <c r="F16" s="18" t="s">
        <v>1</v>
      </c>
      <c r="G16" s="18">
        <v>1040</v>
      </c>
      <c r="H16" s="18" t="s">
        <v>10</v>
      </c>
      <c r="I16" s="19">
        <v>35</v>
      </c>
      <c r="J16" s="18">
        <v>10</v>
      </c>
      <c r="K16" s="19">
        <v>350</v>
      </c>
      <c r="N16" s="17">
        <v>43778</v>
      </c>
      <c r="O16" s="18">
        <v>9</v>
      </c>
      <c r="P16" s="18">
        <v>11</v>
      </c>
      <c r="Q16" s="18">
        <v>2019</v>
      </c>
      <c r="R16" s="18" t="s">
        <v>1</v>
      </c>
      <c r="S16" s="18">
        <v>1050</v>
      </c>
      <c r="T16" s="18" t="s">
        <v>11</v>
      </c>
      <c r="U16" s="19">
        <v>15</v>
      </c>
      <c r="V16" s="18">
        <v>30</v>
      </c>
      <c r="W16" s="19">
        <v>450</v>
      </c>
    </row>
    <row r="17" spans="2:23" x14ac:dyDescent="0.25">
      <c r="B17" s="17">
        <v>43797</v>
      </c>
      <c r="C17" s="18">
        <v>28</v>
      </c>
      <c r="D17" s="18">
        <v>11</v>
      </c>
      <c r="E17" s="18">
        <v>2019</v>
      </c>
      <c r="F17" s="18" t="s">
        <v>1</v>
      </c>
      <c r="G17" s="18">
        <v>1020</v>
      </c>
      <c r="H17" s="18" t="s">
        <v>8</v>
      </c>
      <c r="I17" s="19">
        <v>2299</v>
      </c>
      <c r="J17" s="18">
        <v>20</v>
      </c>
      <c r="K17" s="19">
        <v>45980</v>
      </c>
      <c r="N17" s="17">
        <v>43778</v>
      </c>
      <c r="O17" s="18">
        <v>9</v>
      </c>
      <c r="P17" s="18">
        <v>11</v>
      </c>
      <c r="Q17" s="18">
        <v>2019</v>
      </c>
      <c r="R17" s="18" t="s">
        <v>3</v>
      </c>
      <c r="S17" s="18">
        <v>1060</v>
      </c>
      <c r="T17" s="18" t="s">
        <v>12</v>
      </c>
      <c r="U17" s="19">
        <v>60</v>
      </c>
      <c r="V17" s="18">
        <v>10</v>
      </c>
      <c r="W17" s="19">
        <v>600</v>
      </c>
    </row>
    <row r="18" spans="2:23" x14ac:dyDescent="0.25">
      <c r="B18" s="17">
        <v>43797</v>
      </c>
      <c r="C18" s="18">
        <v>28</v>
      </c>
      <c r="D18" s="18">
        <v>11</v>
      </c>
      <c r="E18" s="18">
        <v>2019</v>
      </c>
      <c r="F18" s="18" t="s">
        <v>1</v>
      </c>
      <c r="G18" s="18">
        <v>1010</v>
      </c>
      <c r="H18" s="18" t="s">
        <v>7</v>
      </c>
      <c r="I18" s="19">
        <v>1450</v>
      </c>
      <c r="J18" s="18">
        <v>10</v>
      </c>
      <c r="K18" s="19">
        <v>14500</v>
      </c>
      <c r="N18" s="17">
        <v>43778</v>
      </c>
      <c r="O18" s="18">
        <v>9</v>
      </c>
      <c r="P18" s="18">
        <v>11</v>
      </c>
      <c r="Q18" s="18">
        <v>2019</v>
      </c>
      <c r="R18" s="18" t="s">
        <v>2</v>
      </c>
      <c r="S18" s="18">
        <v>1040</v>
      </c>
      <c r="T18" s="18" t="s">
        <v>10</v>
      </c>
      <c r="U18" s="19">
        <v>35</v>
      </c>
      <c r="V18" s="18">
        <v>10</v>
      </c>
      <c r="W18" s="19">
        <v>350</v>
      </c>
    </row>
    <row r="19" spans="2:23" x14ac:dyDescent="0.25">
      <c r="B19" s="17"/>
      <c r="C19" s="18"/>
      <c r="D19" s="18"/>
      <c r="E19" s="18"/>
      <c r="F19" s="18"/>
      <c r="G19" s="18"/>
      <c r="H19" s="18"/>
      <c r="I19" s="19"/>
      <c r="J19" s="18"/>
      <c r="K19" s="19"/>
      <c r="N19" s="17">
        <v>43778</v>
      </c>
      <c r="O19" s="18">
        <v>9</v>
      </c>
      <c r="P19" s="18">
        <v>11</v>
      </c>
      <c r="Q19" s="18">
        <v>2019</v>
      </c>
      <c r="R19" s="18" t="s">
        <v>1</v>
      </c>
      <c r="S19" s="18">
        <v>1040</v>
      </c>
      <c r="T19" s="18" t="s">
        <v>10</v>
      </c>
      <c r="U19" s="19">
        <v>35</v>
      </c>
      <c r="V19" s="18">
        <v>16</v>
      </c>
      <c r="W19" s="19">
        <v>560</v>
      </c>
    </row>
    <row r="20" spans="2:23" x14ac:dyDescent="0.25">
      <c r="B20" s="17"/>
      <c r="C20" s="18"/>
      <c r="D20" s="18"/>
      <c r="E20" s="18"/>
      <c r="F20" s="18"/>
      <c r="G20" s="18"/>
      <c r="H20" s="18"/>
      <c r="I20" s="19"/>
      <c r="J20" s="18"/>
      <c r="K20" s="19"/>
      <c r="N20" s="17">
        <v>43768</v>
      </c>
      <c r="O20" s="18">
        <v>30</v>
      </c>
      <c r="P20" s="18">
        <v>10</v>
      </c>
      <c r="Q20" s="18">
        <v>2019</v>
      </c>
      <c r="R20" s="18" t="s">
        <v>3</v>
      </c>
      <c r="S20" s="18">
        <v>1010</v>
      </c>
      <c r="T20" s="18" t="s">
        <v>7</v>
      </c>
      <c r="U20" s="19">
        <v>1450</v>
      </c>
      <c r="V20" s="18">
        <v>10</v>
      </c>
      <c r="W20" s="19">
        <v>14500</v>
      </c>
    </row>
    <row r="21" spans="2:23" x14ac:dyDescent="0.25">
      <c r="B21" s="17"/>
      <c r="C21" s="18"/>
      <c r="D21" s="18"/>
      <c r="E21" s="18"/>
      <c r="F21" s="18"/>
      <c r="G21" s="18"/>
      <c r="H21" s="18"/>
      <c r="I21" s="19"/>
      <c r="J21" s="18"/>
      <c r="K21" s="19"/>
      <c r="N21" s="17">
        <v>43767</v>
      </c>
      <c r="O21" s="18">
        <v>29</v>
      </c>
      <c r="P21" s="18">
        <v>10</v>
      </c>
      <c r="Q21" s="18">
        <v>2019</v>
      </c>
      <c r="R21" s="18" t="s">
        <v>2</v>
      </c>
      <c r="S21" s="18">
        <v>1060</v>
      </c>
      <c r="T21" s="18" t="s">
        <v>12</v>
      </c>
      <c r="U21" s="19">
        <v>60</v>
      </c>
      <c r="V21" s="18">
        <v>4</v>
      </c>
      <c r="W21" s="19">
        <v>240</v>
      </c>
    </row>
    <row r="22" spans="2:23" x14ac:dyDescent="0.25">
      <c r="B22" s="17"/>
      <c r="C22" s="18"/>
      <c r="D22" s="18"/>
      <c r="E22" s="18"/>
      <c r="F22" s="18"/>
      <c r="G22" s="18"/>
      <c r="H22" s="18"/>
      <c r="I22" s="19"/>
      <c r="J22" s="18"/>
      <c r="K22" s="19"/>
      <c r="N22" s="17">
        <v>43763</v>
      </c>
      <c r="O22" s="18">
        <v>25</v>
      </c>
      <c r="P22" s="18">
        <v>10</v>
      </c>
      <c r="Q22" s="18">
        <v>2019</v>
      </c>
      <c r="R22" s="18" t="s">
        <v>1</v>
      </c>
      <c r="S22" s="18">
        <v>1020</v>
      </c>
      <c r="T22" s="18" t="s">
        <v>8</v>
      </c>
      <c r="U22" s="19">
        <v>2299</v>
      </c>
      <c r="V22" s="18">
        <v>6</v>
      </c>
      <c r="W22" s="19">
        <v>13794</v>
      </c>
    </row>
    <row r="23" spans="2:23" x14ac:dyDescent="0.25">
      <c r="B23" s="17"/>
      <c r="C23" s="18"/>
      <c r="D23" s="18"/>
      <c r="E23" s="18"/>
      <c r="F23" s="18"/>
      <c r="G23" s="18"/>
      <c r="H23" s="18"/>
      <c r="I23" s="19"/>
      <c r="J23" s="18"/>
      <c r="K23" s="19"/>
      <c r="N23" s="17">
        <v>43761</v>
      </c>
      <c r="O23" s="18">
        <v>23</v>
      </c>
      <c r="P23" s="18">
        <v>10</v>
      </c>
      <c r="Q23" s="18">
        <v>2019</v>
      </c>
      <c r="R23" s="18" t="s">
        <v>3</v>
      </c>
      <c r="S23" s="18">
        <v>1050</v>
      </c>
      <c r="T23" s="18" t="s">
        <v>11</v>
      </c>
      <c r="U23" s="19">
        <v>15</v>
      </c>
      <c r="V23" s="18">
        <v>16</v>
      </c>
      <c r="W23" s="19">
        <v>240</v>
      </c>
    </row>
    <row r="24" spans="2:23" x14ac:dyDescent="0.25">
      <c r="B24" s="17"/>
      <c r="C24" s="18"/>
      <c r="D24" s="18"/>
      <c r="E24" s="18"/>
      <c r="F24" s="18"/>
      <c r="G24" s="18"/>
      <c r="H24" s="18"/>
      <c r="I24" s="19"/>
      <c r="J24" s="18"/>
      <c r="K24" s="19"/>
      <c r="N24" s="17">
        <v>43760</v>
      </c>
      <c r="O24" s="18">
        <v>22</v>
      </c>
      <c r="P24" s="18">
        <v>10</v>
      </c>
      <c r="Q24" s="18">
        <v>2019</v>
      </c>
      <c r="R24" s="18" t="s">
        <v>2</v>
      </c>
      <c r="S24" s="18">
        <v>1070</v>
      </c>
      <c r="T24" s="18" t="s">
        <v>13</v>
      </c>
      <c r="U24" s="19">
        <v>250</v>
      </c>
      <c r="V24" s="18">
        <v>15</v>
      </c>
      <c r="W24" s="19">
        <v>3750</v>
      </c>
    </row>
    <row r="25" spans="2:23" x14ac:dyDescent="0.25">
      <c r="B25" s="17"/>
      <c r="C25" s="18"/>
      <c r="D25" s="18"/>
      <c r="E25" s="18"/>
      <c r="F25" s="18"/>
      <c r="G25" s="18"/>
      <c r="H25" s="18"/>
      <c r="I25" s="19"/>
      <c r="J25" s="18"/>
      <c r="K25" s="19"/>
      <c r="N25" s="17">
        <v>43758</v>
      </c>
      <c r="O25" s="18">
        <v>20</v>
      </c>
      <c r="P25" s="18">
        <v>10</v>
      </c>
      <c r="Q25" s="18">
        <v>2019</v>
      </c>
      <c r="R25" s="18" t="s">
        <v>3</v>
      </c>
      <c r="S25" s="18">
        <v>1050</v>
      </c>
      <c r="T25" s="18" t="s">
        <v>11</v>
      </c>
      <c r="U25" s="19">
        <v>15</v>
      </c>
      <c r="V25" s="18">
        <v>30</v>
      </c>
      <c r="W25" s="19">
        <v>450</v>
      </c>
    </row>
    <row r="26" spans="2:23" x14ac:dyDescent="0.25">
      <c r="B26" s="17"/>
      <c r="C26" s="18"/>
      <c r="D26" s="18"/>
      <c r="E26" s="18"/>
      <c r="F26" s="18"/>
      <c r="G26" s="18"/>
      <c r="H26" s="18"/>
      <c r="I26" s="19"/>
      <c r="J26" s="18"/>
      <c r="K26" s="19"/>
      <c r="N26" s="17">
        <v>43757</v>
      </c>
      <c r="O26" s="18">
        <v>19</v>
      </c>
      <c r="P26" s="18">
        <v>10</v>
      </c>
      <c r="Q26" s="18">
        <v>2019</v>
      </c>
      <c r="R26" s="18" t="s">
        <v>3</v>
      </c>
      <c r="S26" s="18">
        <v>1040</v>
      </c>
      <c r="T26" s="18" t="s">
        <v>10</v>
      </c>
      <c r="U26" s="19">
        <v>35</v>
      </c>
      <c r="V26" s="18">
        <v>12</v>
      </c>
      <c r="W26" s="19">
        <v>420</v>
      </c>
    </row>
    <row r="27" spans="2:23" x14ac:dyDescent="0.25">
      <c r="B27" s="17"/>
      <c r="C27" s="18"/>
      <c r="D27" s="18"/>
      <c r="E27" s="18"/>
      <c r="F27" s="18"/>
      <c r="G27" s="18"/>
      <c r="H27" s="18"/>
      <c r="I27" s="19"/>
      <c r="J27" s="18"/>
      <c r="K27" s="19"/>
      <c r="N27" s="17">
        <v>43756</v>
      </c>
      <c r="O27" s="18">
        <v>18</v>
      </c>
      <c r="P27" s="18">
        <v>10</v>
      </c>
      <c r="Q27" s="18">
        <v>2019</v>
      </c>
      <c r="R27" s="18" t="s">
        <v>2</v>
      </c>
      <c r="S27" s="18">
        <v>1040</v>
      </c>
      <c r="T27" s="18" t="s">
        <v>10</v>
      </c>
      <c r="U27" s="19">
        <v>35</v>
      </c>
      <c r="V27" s="18">
        <v>40</v>
      </c>
      <c r="W27" s="19">
        <v>1400</v>
      </c>
    </row>
    <row r="28" spans="2:23" x14ac:dyDescent="0.25">
      <c r="B28" s="17"/>
      <c r="C28" s="18"/>
      <c r="D28" s="18"/>
      <c r="E28" s="18"/>
      <c r="F28" s="18"/>
      <c r="G28" s="18"/>
      <c r="H28" s="18"/>
      <c r="I28" s="19"/>
      <c r="J28" s="18"/>
      <c r="K28" s="19"/>
      <c r="N28" s="17">
        <v>43755</v>
      </c>
      <c r="O28" s="18">
        <v>17</v>
      </c>
      <c r="P28" s="18">
        <v>10</v>
      </c>
      <c r="Q28" s="18">
        <v>2019</v>
      </c>
      <c r="R28" s="18" t="s">
        <v>1</v>
      </c>
      <c r="S28" s="18">
        <v>1030</v>
      </c>
      <c r="T28" s="18" t="s">
        <v>9</v>
      </c>
      <c r="U28" s="19">
        <v>3450</v>
      </c>
      <c r="V28" s="18">
        <v>6</v>
      </c>
      <c r="W28" s="19">
        <v>20700</v>
      </c>
    </row>
    <row r="29" spans="2:23" x14ac:dyDescent="0.25">
      <c r="B29" s="17"/>
      <c r="C29" s="18"/>
      <c r="D29" s="18"/>
      <c r="E29" s="18"/>
      <c r="F29" s="18"/>
      <c r="G29" s="18"/>
      <c r="H29" s="18"/>
      <c r="I29" s="19"/>
      <c r="J29" s="18"/>
      <c r="K29" s="19"/>
      <c r="N29" s="17">
        <v>43753</v>
      </c>
      <c r="O29" s="18">
        <v>15</v>
      </c>
      <c r="P29" s="18">
        <v>10</v>
      </c>
      <c r="Q29" s="18">
        <v>2019</v>
      </c>
      <c r="R29" s="18" t="s">
        <v>2</v>
      </c>
      <c r="S29" s="18">
        <v>1030</v>
      </c>
      <c r="T29" s="18" t="s">
        <v>9</v>
      </c>
      <c r="U29" s="19">
        <v>3450</v>
      </c>
      <c r="V29" s="18">
        <v>4</v>
      </c>
      <c r="W29" s="19">
        <v>13800</v>
      </c>
    </row>
    <row r="30" spans="2:23" x14ac:dyDescent="0.25">
      <c r="B30" s="17"/>
      <c r="C30" s="18"/>
      <c r="D30" s="18"/>
      <c r="E30" s="18"/>
      <c r="F30" s="18"/>
      <c r="G30" s="18"/>
      <c r="H30" s="18"/>
      <c r="I30" s="19"/>
      <c r="J30" s="18"/>
      <c r="K30" s="19"/>
      <c r="N30" s="17">
        <v>43751</v>
      </c>
      <c r="O30" s="18">
        <v>13</v>
      </c>
      <c r="P30" s="18">
        <v>10</v>
      </c>
      <c r="Q30" s="18">
        <v>2019</v>
      </c>
      <c r="R30" s="18" t="s">
        <v>3</v>
      </c>
      <c r="S30" s="18">
        <v>1050</v>
      </c>
      <c r="T30" s="18" t="s">
        <v>11</v>
      </c>
      <c r="U30" s="19">
        <v>15</v>
      </c>
      <c r="V30" s="18">
        <v>6</v>
      </c>
      <c r="W30" s="19">
        <v>90</v>
      </c>
    </row>
    <row r="31" spans="2:23" x14ac:dyDescent="0.25">
      <c r="B31" s="17"/>
      <c r="C31" s="18"/>
      <c r="D31" s="18"/>
      <c r="E31" s="18"/>
      <c r="F31" s="18"/>
      <c r="G31" s="18"/>
      <c r="H31" s="18"/>
      <c r="I31" s="19"/>
      <c r="J31" s="18"/>
      <c r="K31" s="19"/>
      <c r="N31" s="17">
        <v>43750</v>
      </c>
      <c r="O31" s="18">
        <v>12</v>
      </c>
      <c r="P31" s="18">
        <v>10</v>
      </c>
      <c r="Q31" s="18">
        <v>2019</v>
      </c>
      <c r="R31" s="18" t="s">
        <v>3</v>
      </c>
      <c r="S31" s="18">
        <v>1050</v>
      </c>
      <c r="T31" s="18" t="s">
        <v>11</v>
      </c>
      <c r="U31" s="19">
        <v>15</v>
      </c>
      <c r="V31" s="18">
        <v>5</v>
      </c>
      <c r="W31" s="19">
        <v>75</v>
      </c>
    </row>
    <row r="32" spans="2:23" x14ac:dyDescent="0.25">
      <c r="B32" s="17"/>
      <c r="C32" s="18"/>
      <c r="D32" s="18"/>
      <c r="E32" s="18"/>
      <c r="F32" s="18"/>
      <c r="G32" s="18"/>
      <c r="H32" s="18"/>
      <c r="I32" s="19"/>
      <c r="J32" s="18"/>
      <c r="K32" s="19"/>
      <c r="N32" s="17">
        <v>43749</v>
      </c>
      <c r="O32" s="18">
        <v>11</v>
      </c>
      <c r="P32" s="18">
        <v>10</v>
      </c>
      <c r="Q32" s="18">
        <v>2019</v>
      </c>
      <c r="R32" s="18" t="s">
        <v>3</v>
      </c>
      <c r="S32" s="18">
        <v>1060</v>
      </c>
      <c r="T32" s="18" t="s">
        <v>12</v>
      </c>
      <c r="U32" s="19">
        <v>60</v>
      </c>
      <c r="V32" s="18">
        <v>3</v>
      </c>
      <c r="W32" s="19">
        <v>180</v>
      </c>
    </row>
    <row r="33" spans="2:23" x14ac:dyDescent="0.25">
      <c r="B33" s="17"/>
      <c r="C33" s="18"/>
      <c r="D33" s="18"/>
      <c r="E33" s="18"/>
      <c r="F33" s="18"/>
      <c r="G33" s="18"/>
      <c r="H33" s="18"/>
      <c r="I33" s="19"/>
      <c r="J33" s="18"/>
      <c r="K33" s="19"/>
      <c r="N33" s="17">
        <v>43745</v>
      </c>
      <c r="O33" s="18">
        <v>7</v>
      </c>
      <c r="P33" s="18">
        <v>10</v>
      </c>
      <c r="Q33" s="18">
        <v>2019</v>
      </c>
      <c r="R33" s="18" t="s">
        <v>3</v>
      </c>
      <c r="S33" s="18">
        <v>1070</v>
      </c>
      <c r="T33" s="18" t="s">
        <v>13</v>
      </c>
      <c r="U33" s="19">
        <v>250</v>
      </c>
      <c r="V33" s="18">
        <v>5</v>
      </c>
      <c r="W33" s="19">
        <v>1250</v>
      </c>
    </row>
    <row r="34" spans="2:23" x14ac:dyDescent="0.25">
      <c r="B34" s="17"/>
      <c r="C34" s="18"/>
      <c r="D34" s="18"/>
      <c r="E34" s="18"/>
      <c r="F34" s="18"/>
      <c r="G34" s="18"/>
      <c r="H34" s="18"/>
      <c r="I34" s="19"/>
      <c r="J34" s="18"/>
      <c r="K34" s="19"/>
      <c r="N34" s="17">
        <v>43743</v>
      </c>
      <c r="O34" s="18">
        <v>5</v>
      </c>
      <c r="P34" s="18">
        <v>10</v>
      </c>
      <c r="Q34" s="18">
        <v>2019</v>
      </c>
      <c r="R34" s="18" t="s">
        <v>2</v>
      </c>
      <c r="S34" s="18">
        <v>1040</v>
      </c>
      <c r="T34" s="18" t="s">
        <v>10</v>
      </c>
      <c r="U34" s="19">
        <v>35</v>
      </c>
      <c r="V34" s="18">
        <v>5</v>
      </c>
      <c r="W34" s="19">
        <v>175</v>
      </c>
    </row>
    <row r="35" spans="2:23" x14ac:dyDescent="0.25">
      <c r="B35" s="17"/>
      <c r="C35" s="18"/>
      <c r="D35" s="18"/>
      <c r="E35" s="18"/>
      <c r="F35" s="18"/>
      <c r="G35" s="18"/>
      <c r="H35" s="18"/>
      <c r="I35" s="19"/>
      <c r="J35" s="18"/>
      <c r="K35" s="19"/>
      <c r="N35" s="17">
        <v>43741</v>
      </c>
      <c r="O35" s="18">
        <v>3</v>
      </c>
      <c r="P35" s="18">
        <v>10</v>
      </c>
      <c r="Q35" s="18">
        <v>2019</v>
      </c>
      <c r="R35" s="18" t="s">
        <v>2</v>
      </c>
      <c r="S35" s="18">
        <v>1020</v>
      </c>
      <c r="T35" s="18" t="s">
        <v>8</v>
      </c>
      <c r="U35" s="19">
        <v>2299</v>
      </c>
      <c r="V35" s="18">
        <v>6</v>
      </c>
      <c r="W35" s="19">
        <v>13794</v>
      </c>
    </row>
    <row r="36" spans="2:23" x14ac:dyDescent="0.25">
      <c r="B36" s="17"/>
      <c r="C36" s="18"/>
      <c r="D36" s="18"/>
      <c r="E36" s="18"/>
      <c r="F36" s="18"/>
      <c r="G36" s="18"/>
      <c r="H36" s="18"/>
      <c r="I36" s="19"/>
      <c r="J36" s="18"/>
      <c r="K36" s="19"/>
      <c r="N36" s="17">
        <v>43740</v>
      </c>
      <c r="O36" s="18">
        <v>2</v>
      </c>
      <c r="P36" s="18">
        <v>10</v>
      </c>
      <c r="Q36" s="18">
        <v>2019</v>
      </c>
      <c r="R36" s="18" t="s">
        <v>1</v>
      </c>
      <c r="S36" s="18">
        <v>1010</v>
      </c>
      <c r="T36" s="18" t="s">
        <v>7</v>
      </c>
      <c r="U36" s="19">
        <v>1450</v>
      </c>
      <c r="V36" s="18">
        <v>5</v>
      </c>
      <c r="W36" s="19">
        <v>7250</v>
      </c>
    </row>
    <row r="37" spans="2:23" x14ac:dyDescent="0.25">
      <c r="B37" s="17"/>
      <c r="C37" s="18"/>
      <c r="D37" s="18"/>
      <c r="E37" s="18"/>
      <c r="F37" s="18"/>
      <c r="G37" s="18"/>
      <c r="H37" s="18"/>
      <c r="I37" s="19"/>
      <c r="J37" s="18"/>
      <c r="K37" s="19"/>
      <c r="N37" s="17">
        <v>43738</v>
      </c>
      <c r="O37" s="18">
        <v>30</v>
      </c>
      <c r="P37" s="18">
        <v>9</v>
      </c>
      <c r="Q37" s="18">
        <v>2019</v>
      </c>
      <c r="R37" s="18" t="s">
        <v>1</v>
      </c>
      <c r="S37" s="18">
        <v>1030</v>
      </c>
      <c r="T37" s="18" t="s">
        <v>9</v>
      </c>
      <c r="U37" s="19">
        <v>3450</v>
      </c>
      <c r="V37" s="18">
        <v>5</v>
      </c>
      <c r="W37" s="19">
        <v>17250</v>
      </c>
    </row>
    <row r="38" spans="2:23" x14ac:dyDescent="0.25">
      <c r="B38" s="17"/>
      <c r="C38" s="18"/>
      <c r="D38" s="18"/>
      <c r="E38" s="18"/>
      <c r="F38" s="18"/>
      <c r="G38" s="18"/>
      <c r="H38" s="18"/>
      <c r="I38" s="19"/>
      <c r="J38" s="18"/>
      <c r="K38" s="19"/>
      <c r="N38" s="17">
        <v>43734</v>
      </c>
      <c r="O38" s="18">
        <v>26</v>
      </c>
      <c r="P38" s="18">
        <v>9</v>
      </c>
      <c r="Q38" s="18">
        <v>2019</v>
      </c>
      <c r="R38" s="18" t="s">
        <v>2</v>
      </c>
      <c r="S38" s="18">
        <v>1050</v>
      </c>
      <c r="T38" s="18" t="s">
        <v>11</v>
      </c>
      <c r="U38" s="19">
        <v>15</v>
      </c>
      <c r="V38" s="18">
        <v>6</v>
      </c>
      <c r="W38" s="19">
        <v>90</v>
      </c>
    </row>
    <row r="39" spans="2:23" x14ac:dyDescent="0.25">
      <c r="B39" s="17"/>
      <c r="C39" s="18"/>
      <c r="D39" s="18"/>
      <c r="E39" s="18"/>
      <c r="F39" s="18"/>
      <c r="G39" s="18"/>
      <c r="H39" s="18"/>
      <c r="I39" s="19"/>
      <c r="J39" s="18"/>
      <c r="K39" s="19"/>
      <c r="N39" s="17">
        <v>43795</v>
      </c>
      <c r="O39" s="18">
        <v>26</v>
      </c>
      <c r="P39" s="18">
        <v>11</v>
      </c>
      <c r="Q39" s="18">
        <v>2019</v>
      </c>
      <c r="R39" s="18" t="s">
        <v>3</v>
      </c>
      <c r="S39" s="18">
        <v>1070</v>
      </c>
      <c r="T39" s="18" t="s">
        <v>13</v>
      </c>
      <c r="U39" s="19">
        <v>250</v>
      </c>
      <c r="V39" s="18">
        <v>10</v>
      </c>
      <c r="W39" s="19">
        <v>2500</v>
      </c>
    </row>
    <row r="40" spans="2:23" x14ac:dyDescent="0.25">
      <c r="B40" s="17"/>
      <c r="C40" s="18"/>
      <c r="D40" s="18"/>
      <c r="E40" s="18"/>
      <c r="F40" s="18"/>
      <c r="G40" s="18"/>
      <c r="H40" s="18"/>
      <c r="I40" s="19"/>
      <c r="J40" s="18"/>
      <c r="K40" s="19"/>
      <c r="N40" s="17">
        <v>43732</v>
      </c>
      <c r="O40" s="18">
        <v>24</v>
      </c>
      <c r="P40" s="18">
        <v>9</v>
      </c>
      <c r="Q40" s="18">
        <v>2019</v>
      </c>
      <c r="R40" s="18" t="s">
        <v>3</v>
      </c>
      <c r="S40" s="18">
        <v>1030</v>
      </c>
      <c r="T40" s="18" t="s">
        <v>9</v>
      </c>
      <c r="U40" s="19">
        <v>3450</v>
      </c>
      <c r="V40" s="18">
        <v>11</v>
      </c>
      <c r="W40" s="19">
        <v>37950</v>
      </c>
    </row>
    <row r="41" spans="2:23" x14ac:dyDescent="0.25">
      <c r="B41" s="17"/>
      <c r="C41" s="18"/>
      <c r="D41" s="18"/>
      <c r="E41" s="18"/>
      <c r="F41" s="18"/>
      <c r="G41" s="18"/>
      <c r="H41" s="18"/>
      <c r="I41" s="19"/>
      <c r="J41" s="18"/>
      <c r="K41" s="19"/>
      <c r="N41" s="17">
        <v>43730</v>
      </c>
      <c r="O41" s="18">
        <v>22</v>
      </c>
      <c r="P41" s="18">
        <v>9</v>
      </c>
      <c r="Q41" s="18">
        <v>2019</v>
      </c>
      <c r="R41" s="18" t="s">
        <v>2</v>
      </c>
      <c r="S41" s="18">
        <v>1080</v>
      </c>
      <c r="T41" s="18" t="s">
        <v>14</v>
      </c>
      <c r="U41" s="19">
        <v>35</v>
      </c>
      <c r="V41" s="18">
        <v>20</v>
      </c>
      <c r="W41" s="19">
        <v>700</v>
      </c>
    </row>
    <row r="42" spans="2:23" x14ac:dyDescent="0.25">
      <c r="B42" s="17"/>
      <c r="C42" s="18"/>
      <c r="D42" s="18"/>
      <c r="E42" s="18"/>
      <c r="F42" s="18"/>
      <c r="G42" s="18"/>
      <c r="H42" s="18"/>
      <c r="I42" s="19"/>
      <c r="J42" s="18"/>
      <c r="K42" s="19"/>
      <c r="N42" s="17">
        <v>43728</v>
      </c>
      <c r="O42" s="18">
        <v>20</v>
      </c>
      <c r="P42" s="18">
        <v>9</v>
      </c>
      <c r="Q42" s="18">
        <v>2019</v>
      </c>
      <c r="R42" s="18" t="s">
        <v>3</v>
      </c>
      <c r="S42" s="18">
        <v>1080</v>
      </c>
      <c r="T42" s="18" t="s">
        <v>14</v>
      </c>
      <c r="U42" s="19">
        <v>35</v>
      </c>
      <c r="V42" s="18">
        <v>4</v>
      </c>
      <c r="W42" s="19">
        <v>140</v>
      </c>
    </row>
    <row r="43" spans="2:23" x14ac:dyDescent="0.25">
      <c r="B43" s="17"/>
      <c r="C43" s="18"/>
      <c r="D43" s="18"/>
      <c r="E43" s="18"/>
      <c r="F43" s="18"/>
      <c r="G43" s="18"/>
      <c r="H43" s="18"/>
      <c r="I43" s="19"/>
      <c r="J43" s="18"/>
      <c r="K43" s="19"/>
      <c r="N43" s="17">
        <v>43725</v>
      </c>
      <c r="O43" s="18">
        <v>17</v>
      </c>
      <c r="P43" s="18">
        <v>9</v>
      </c>
      <c r="Q43" s="18">
        <v>2019</v>
      </c>
      <c r="R43" s="18" t="s">
        <v>2</v>
      </c>
      <c r="S43" s="18">
        <v>1010</v>
      </c>
      <c r="T43" s="18" t="s">
        <v>7</v>
      </c>
      <c r="U43" s="19">
        <v>1450</v>
      </c>
      <c r="V43" s="18">
        <v>6</v>
      </c>
      <c r="W43" s="19">
        <v>8700</v>
      </c>
    </row>
    <row r="44" spans="2:23" x14ac:dyDescent="0.25">
      <c r="B44" s="17"/>
      <c r="C44" s="18"/>
      <c r="D44" s="18"/>
      <c r="E44" s="18"/>
      <c r="F44" s="18"/>
      <c r="G44" s="18"/>
      <c r="H44" s="18"/>
      <c r="I44" s="19"/>
      <c r="J44" s="18"/>
      <c r="K44" s="19"/>
      <c r="N44" s="17">
        <v>43723</v>
      </c>
      <c r="O44" s="18">
        <v>15</v>
      </c>
      <c r="P44" s="18">
        <v>9</v>
      </c>
      <c r="Q44" s="18">
        <v>2019</v>
      </c>
      <c r="R44" s="18" t="s">
        <v>1</v>
      </c>
      <c r="S44" s="18">
        <v>1040</v>
      </c>
      <c r="T44" s="18" t="s">
        <v>10</v>
      </c>
      <c r="U44" s="19">
        <v>35</v>
      </c>
      <c r="V44" s="18">
        <v>5</v>
      </c>
      <c r="W44" s="19">
        <v>175</v>
      </c>
    </row>
    <row r="45" spans="2:23" x14ac:dyDescent="0.25">
      <c r="B45" s="17"/>
      <c r="C45" s="18"/>
      <c r="D45" s="18"/>
      <c r="E45" s="18"/>
      <c r="F45" s="18"/>
      <c r="G45" s="18"/>
      <c r="H45" s="18"/>
      <c r="I45" s="19"/>
      <c r="J45" s="18"/>
      <c r="K45" s="19"/>
      <c r="N45" s="17">
        <v>43719</v>
      </c>
      <c r="O45" s="18">
        <v>11</v>
      </c>
      <c r="P45" s="18">
        <v>9</v>
      </c>
      <c r="Q45" s="18">
        <v>2019</v>
      </c>
      <c r="R45" s="18" t="s">
        <v>3</v>
      </c>
      <c r="S45" s="18">
        <v>1020</v>
      </c>
      <c r="T45" s="18" t="s">
        <v>8</v>
      </c>
      <c r="U45" s="19">
        <v>2299</v>
      </c>
      <c r="V45" s="18">
        <v>4</v>
      </c>
      <c r="W45" s="19">
        <v>9196</v>
      </c>
    </row>
    <row r="46" spans="2:23" x14ac:dyDescent="0.25">
      <c r="B46" s="17"/>
      <c r="C46" s="18"/>
      <c r="D46" s="18"/>
      <c r="E46" s="18"/>
      <c r="F46" s="18"/>
      <c r="G46" s="18"/>
      <c r="H46" s="18"/>
      <c r="I46" s="19"/>
      <c r="J46" s="18"/>
      <c r="K46" s="19"/>
      <c r="N46" s="17">
        <v>43714</v>
      </c>
      <c r="O46" s="18">
        <v>6</v>
      </c>
      <c r="P46" s="18">
        <v>9</v>
      </c>
      <c r="Q46" s="18">
        <v>2019</v>
      </c>
      <c r="R46" s="18" t="s">
        <v>2</v>
      </c>
      <c r="S46" s="18">
        <v>1020</v>
      </c>
      <c r="T46" s="18" t="s">
        <v>8</v>
      </c>
      <c r="U46" s="19">
        <v>2299</v>
      </c>
      <c r="V46" s="18">
        <v>8</v>
      </c>
      <c r="W46" s="19">
        <v>18392</v>
      </c>
    </row>
    <row r="47" spans="2:23" x14ac:dyDescent="0.25">
      <c r="B47" s="17"/>
      <c r="C47" s="18"/>
      <c r="D47" s="18"/>
      <c r="E47" s="18"/>
      <c r="F47" s="18"/>
      <c r="G47" s="18"/>
      <c r="H47" s="18"/>
      <c r="I47" s="19"/>
      <c r="J47" s="18"/>
      <c r="K47" s="19"/>
      <c r="N47" s="17">
        <v>43713</v>
      </c>
      <c r="O47" s="18">
        <v>5</v>
      </c>
      <c r="P47" s="18">
        <v>9</v>
      </c>
      <c r="Q47" s="18">
        <v>2019</v>
      </c>
      <c r="R47" s="18" t="s">
        <v>3</v>
      </c>
      <c r="S47" s="18">
        <v>1020</v>
      </c>
      <c r="T47" s="18" t="s">
        <v>8</v>
      </c>
      <c r="U47" s="19">
        <v>2299</v>
      </c>
      <c r="V47" s="18">
        <v>4</v>
      </c>
      <c r="W47" s="19">
        <v>9196</v>
      </c>
    </row>
    <row r="48" spans="2:23" x14ac:dyDescent="0.25">
      <c r="B48" s="17"/>
      <c r="C48" s="18"/>
      <c r="D48" s="18"/>
      <c r="E48" s="18"/>
      <c r="F48" s="18"/>
      <c r="G48" s="18"/>
      <c r="H48" s="18"/>
      <c r="I48" s="19"/>
      <c r="J48" s="18"/>
      <c r="K48" s="19"/>
      <c r="N48" s="17">
        <v>43710</v>
      </c>
      <c r="O48" s="18">
        <v>2</v>
      </c>
      <c r="P48" s="18">
        <v>9</v>
      </c>
      <c r="Q48" s="18">
        <v>2019</v>
      </c>
      <c r="R48" s="18" t="s">
        <v>1</v>
      </c>
      <c r="S48" s="18">
        <v>1030</v>
      </c>
      <c r="T48" s="18" t="s">
        <v>9</v>
      </c>
      <c r="U48" s="19">
        <v>3450</v>
      </c>
      <c r="V48" s="18">
        <v>3</v>
      </c>
      <c r="W48" s="19">
        <v>10350</v>
      </c>
    </row>
    <row r="49" spans="2:23" x14ac:dyDescent="0.25">
      <c r="B49" s="17"/>
      <c r="C49" s="18"/>
      <c r="D49" s="18"/>
      <c r="E49" s="18"/>
      <c r="F49" s="18"/>
      <c r="G49" s="18"/>
      <c r="H49" s="18"/>
      <c r="I49" s="19"/>
      <c r="J49" s="18"/>
      <c r="K49" s="19"/>
      <c r="N49" s="17">
        <v>43705</v>
      </c>
      <c r="O49" s="18">
        <v>28</v>
      </c>
      <c r="P49" s="18">
        <v>8</v>
      </c>
      <c r="Q49" s="18">
        <v>2019</v>
      </c>
      <c r="R49" s="18" t="s">
        <v>3</v>
      </c>
      <c r="S49" s="18">
        <v>1030</v>
      </c>
      <c r="T49" s="18" t="s">
        <v>9</v>
      </c>
      <c r="U49" s="19">
        <v>3450</v>
      </c>
      <c r="V49" s="18">
        <v>6</v>
      </c>
      <c r="W49" s="19">
        <v>20700</v>
      </c>
    </row>
    <row r="50" spans="2:23" x14ac:dyDescent="0.25">
      <c r="B50" s="17"/>
      <c r="C50" s="18"/>
      <c r="D50" s="18"/>
      <c r="E50" s="18"/>
      <c r="F50" s="18"/>
      <c r="G50" s="18"/>
      <c r="H50" s="18"/>
      <c r="I50" s="19"/>
      <c r="J50" s="18"/>
      <c r="K50" s="19"/>
      <c r="N50" s="17">
        <v>43702</v>
      </c>
      <c r="O50" s="18">
        <v>25</v>
      </c>
      <c r="P50" s="18">
        <v>8</v>
      </c>
      <c r="Q50" s="18">
        <v>2019</v>
      </c>
      <c r="R50" s="18" t="s">
        <v>2</v>
      </c>
      <c r="S50" s="18">
        <v>1040</v>
      </c>
      <c r="T50" s="18" t="s">
        <v>10</v>
      </c>
      <c r="U50" s="19">
        <v>35</v>
      </c>
      <c r="V50" s="18">
        <v>6</v>
      </c>
      <c r="W50" s="19">
        <v>210</v>
      </c>
    </row>
    <row r="51" spans="2:23" x14ac:dyDescent="0.25">
      <c r="B51" s="17"/>
      <c r="C51" s="18"/>
      <c r="D51" s="18"/>
      <c r="E51" s="18"/>
      <c r="F51" s="18"/>
      <c r="G51" s="18"/>
      <c r="H51" s="18"/>
      <c r="I51" s="19"/>
      <c r="J51" s="18"/>
      <c r="K51" s="19"/>
      <c r="N51" s="17">
        <v>43696</v>
      </c>
      <c r="O51" s="18">
        <v>19</v>
      </c>
      <c r="P51" s="18">
        <v>8</v>
      </c>
      <c r="Q51" s="18">
        <v>2019</v>
      </c>
      <c r="R51" s="18" t="s">
        <v>2</v>
      </c>
      <c r="S51" s="18">
        <v>1070</v>
      </c>
      <c r="T51" s="18" t="s">
        <v>13</v>
      </c>
      <c r="U51" s="19">
        <v>250</v>
      </c>
      <c r="V51" s="18">
        <v>3</v>
      </c>
      <c r="W51" s="19">
        <v>750</v>
      </c>
    </row>
    <row r="52" spans="2:23" x14ac:dyDescent="0.25">
      <c r="B52" s="17"/>
      <c r="C52" s="18"/>
      <c r="D52" s="18"/>
      <c r="E52" s="18"/>
      <c r="F52" s="18"/>
      <c r="G52" s="18"/>
      <c r="H52" s="18"/>
      <c r="I52" s="19"/>
      <c r="J52" s="18"/>
      <c r="K52" s="19"/>
      <c r="N52" s="17">
        <v>43696</v>
      </c>
      <c r="O52" s="18">
        <v>19</v>
      </c>
      <c r="P52" s="18">
        <v>8</v>
      </c>
      <c r="Q52" s="18">
        <v>2019</v>
      </c>
      <c r="R52" s="18" t="s">
        <v>1</v>
      </c>
      <c r="S52" s="18">
        <v>1080</v>
      </c>
      <c r="T52" s="18" t="s">
        <v>14</v>
      </c>
      <c r="U52" s="19">
        <v>35</v>
      </c>
      <c r="V52" s="18">
        <v>10</v>
      </c>
      <c r="W52" s="19">
        <v>350</v>
      </c>
    </row>
    <row r="53" spans="2:23" x14ac:dyDescent="0.25">
      <c r="B53" s="17"/>
      <c r="C53" s="18"/>
      <c r="D53" s="18"/>
      <c r="E53" s="18"/>
      <c r="F53" s="18"/>
      <c r="G53" s="18"/>
      <c r="H53" s="18"/>
      <c r="I53" s="19"/>
      <c r="J53" s="18"/>
      <c r="K53" s="19"/>
      <c r="N53" s="17">
        <v>43693</v>
      </c>
      <c r="O53" s="18">
        <v>16</v>
      </c>
      <c r="P53" s="18">
        <v>8</v>
      </c>
      <c r="Q53" s="18">
        <v>2019</v>
      </c>
      <c r="R53" s="18" t="s">
        <v>3</v>
      </c>
      <c r="S53" s="18">
        <v>1030</v>
      </c>
      <c r="T53" s="18" t="s">
        <v>9</v>
      </c>
      <c r="U53" s="19">
        <v>3450</v>
      </c>
      <c r="V53" s="18">
        <v>2</v>
      </c>
      <c r="W53" s="19">
        <v>6900</v>
      </c>
    </row>
    <row r="54" spans="2:23" x14ac:dyDescent="0.25">
      <c r="B54" s="17"/>
      <c r="C54" s="18"/>
      <c r="D54" s="18"/>
      <c r="E54" s="18"/>
      <c r="F54" s="18"/>
      <c r="G54" s="18"/>
      <c r="H54" s="18"/>
      <c r="I54" s="19"/>
      <c r="J54" s="18"/>
      <c r="K54" s="19"/>
      <c r="N54" s="17">
        <v>43689</v>
      </c>
      <c r="O54" s="18">
        <v>12</v>
      </c>
      <c r="P54" s="18">
        <v>8</v>
      </c>
      <c r="Q54" s="18">
        <v>2019</v>
      </c>
      <c r="R54" s="18" t="s">
        <v>3</v>
      </c>
      <c r="S54" s="18">
        <v>1060</v>
      </c>
      <c r="T54" s="18" t="s">
        <v>12</v>
      </c>
      <c r="U54" s="19">
        <v>60</v>
      </c>
      <c r="V54" s="18">
        <v>3</v>
      </c>
      <c r="W54" s="19">
        <v>180</v>
      </c>
    </row>
    <row r="55" spans="2:23" x14ac:dyDescent="0.25">
      <c r="B55" s="17"/>
      <c r="C55" s="18"/>
      <c r="D55" s="18"/>
      <c r="E55" s="18"/>
      <c r="F55" s="18"/>
      <c r="G55" s="18"/>
      <c r="H55" s="18"/>
      <c r="I55" s="19"/>
      <c r="J55" s="18"/>
      <c r="K55" s="19"/>
      <c r="N55" s="17">
        <v>43682</v>
      </c>
      <c r="O55" s="18">
        <v>5</v>
      </c>
      <c r="P55" s="18">
        <v>8</v>
      </c>
      <c r="Q55" s="18">
        <v>2019</v>
      </c>
      <c r="R55" s="18" t="s">
        <v>2</v>
      </c>
      <c r="S55" s="18">
        <v>1020</v>
      </c>
      <c r="T55" s="18" t="s">
        <v>8</v>
      </c>
      <c r="U55" s="19">
        <v>2299</v>
      </c>
      <c r="V55" s="18">
        <v>3</v>
      </c>
      <c r="W55" s="19">
        <v>6897</v>
      </c>
    </row>
    <row r="56" spans="2:23" x14ac:dyDescent="0.25">
      <c r="B56" s="17"/>
      <c r="C56" s="18"/>
      <c r="D56" s="18"/>
      <c r="E56" s="18"/>
      <c r="F56" s="18"/>
      <c r="G56" s="18"/>
      <c r="H56" s="18"/>
      <c r="I56" s="19"/>
      <c r="J56" s="18"/>
      <c r="K56" s="19"/>
      <c r="N56" s="17">
        <v>43687</v>
      </c>
      <c r="O56" s="18">
        <v>10</v>
      </c>
      <c r="P56" s="18">
        <v>8</v>
      </c>
      <c r="Q56" s="18">
        <v>2019</v>
      </c>
      <c r="R56" s="18" t="s">
        <v>1</v>
      </c>
      <c r="S56" s="18">
        <v>1010</v>
      </c>
      <c r="T56" s="18" t="s">
        <v>7</v>
      </c>
      <c r="U56" s="19">
        <v>1450</v>
      </c>
      <c r="V56" s="18">
        <v>3</v>
      </c>
      <c r="W56" s="19">
        <v>4350</v>
      </c>
    </row>
    <row r="57" spans="2:23" x14ac:dyDescent="0.25">
      <c r="B57" s="17"/>
      <c r="C57" s="18"/>
      <c r="D57" s="18"/>
      <c r="E57" s="18"/>
      <c r="F57" s="18"/>
      <c r="G57" s="18"/>
      <c r="H57" s="18"/>
      <c r="I57" s="19"/>
      <c r="J57" s="18"/>
      <c r="K57" s="19"/>
      <c r="N57" s="17">
        <v>43778</v>
      </c>
      <c r="O57" s="18">
        <v>9</v>
      </c>
      <c r="P57" s="18">
        <v>11</v>
      </c>
      <c r="Q57" s="18">
        <v>2019</v>
      </c>
      <c r="R57" s="18" t="s">
        <v>1</v>
      </c>
      <c r="S57" s="18">
        <v>1050</v>
      </c>
      <c r="T57" s="18" t="s">
        <v>11</v>
      </c>
      <c r="U57" s="19">
        <v>15</v>
      </c>
      <c r="V57" s="18">
        <v>3</v>
      </c>
      <c r="W57" s="19">
        <v>45</v>
      </c>
    </row>
    <row r="58" spans="2:23" x14ac:dyDescent="0.25">
      <c r="B58" s="17"/>
      <c r="C58" s="18"/>
      <c r="D58" s="18"/>
      <c r="E58" s="18"/>
      <c r="F58" s="18"/>
      <c r="G58" s="18"/>
      <c r="H58" s="18"/>
      <c r="I58" s="19"/>
      <c r="J58" s="18"/>
      <c r="K58" s="19"/>
      <c r="N58" s="17">
        <v>43778</v>
      </c>
      <c r="O58" s="18">
        <v>9</v>
      </c>
      <c r="P58" s="18">
        <v>11</v>
      </c>
      <c r="Q58" s="18">
        <v>2019</v>
      </c>
      <c r="R58" s="18" t="s">
        <v>1</v>
      </c>
      <c r="S58" s="18">
        <v>1010</v>
      </c>
      <c r="T58" s="18" t="s">
        <v>7</v>
      </c>
      <c r="U58" s="19">
        <v>1450</v>
      </c>
      <c r="V58" s="18">
        <v>4</v>
      </c>
      <c r="W58" s="19">
        <v>5800</v>
      </c>
    </row>
    <row r="59" spans="2:23" x14ac:dyDescent="0.25">
      <c r="B59" s="17"/>
      <c r="C59" s="18"/>
      <c r="D59" s="18"/>
      <c r="E59" s="18"/>
      <c r="F59" s="18"/>
      <c r="G59" s="18"/>
      <c r="H59" s="18"/>
      <c r="I59" s="19"/>
      <c r="J59" s="18"/>
      <c r="K59" s="19"/>
      <c r="N59" s="17">
        <v>43778</v>
      </c>
      <c r="O59" s="18">
        <v>9</v>
      </c>
      <c r="P59" s="18">
        <v>11</v>
      </c>
      <c r="Q59" s="18">
        <v>2019</v>
      </c>
      <c r="R59" s="18" t="s">
        <v>1</v>
      </c>
      <c r="S59" s="18">
        <v>1060</v>
      </c>
      <c r="T59" s="18" t="s">
        <v>12</v>
      </c>
      <c r="U59" s="19">
        <v>60</v>
      </c>
      <c r="V59" s="18">
        <v>3</v>
      </c>
      <c r="W59" s="19">
        <v>180</v>
      </c>
    </row>
    <row r="60" spans="2:23" x14ac:dyDescent="0.25">
      <c r="B60" s="17"/>
      <c r="C60" s="18"/>
      <c r="D60" s="18"/>
      <c r="E60" s="18"/>
      <c r="F60" s="18"/>
      <c r="G60" s="18"/>
      <c r="H60" s="18"/>
      <c r="I60" s="19"/>
      <c r="J60" s="18"/>
      <c r="K60" s="19"/>
      <c r="N60" s="17">
        <v>43778</v>
      </c>
      <c r="O60" s="18">
        <v>9</v>
      </c>
      <c r="P60" s="18">
        <v>11</v>
      </c>
      <c r="Q60" s="18">
        <v>2019</v>
      </c>
      <c r="R60" s="18" t="s">
        <v>3</v>
      </c>
      <c r="S60" s="18">
        <v>1010</v>
      </c>
      <c r="T60" s="18" t="s">
        <v>7</v>
      </c>
      <c r="U60" s="19">
        <v>1450</v>
      </c>
      <c r="V60" s="18">
        <v>3</v>
      </c>
      <c r="W60" s="19">
        <v>4350</v>
      </c>
    </row>
    <row r="61" spans="2:23" x14ac:dyDescent="0.25">
      <c r="B61" s="17"/>
      <c r="C61" s="18"/>
      <c r="D61" s="18"/>
      <c r="E61" s="18"/>
      <c r="F61" s="18"/>
      <c r="G61" s="18"/>
      <c r="H61" s="18"/>
      <c r="I61" s="19"/>
      <c r="J61" s="18"/>
      <c r="K61" s="19"/>
      <c r="N61" s="17">
        <v>43778</v>
      </c>
      <c r="O61" s="18">
        <v>9</v>
      </c>
      <c r="P61" s="18">
        <v>11</v>
      </c>
      <c r="Q61" s="18">
        <v>2019</v>
      </c>
      <c r="R61" s="18" t="s">
        <v>3</v>
      </c>
      <c r="S61" s="18">
        <v>1030</v>
      </c>
      <c r="T61" s="18" t="s">
        <v>9</v>
      </c>
      <c r="U61" s="19">
        <v>3450</v>
      </c>
      <c r="V61" s="18">
        <v>2</v>
      </c>
      <c r="W61" s="19">
        <v>6900</v>
      </c>
    </row>
    <row r="62" spans="2:23" x14ac:dyDescent="0.25">
      <c r="B62" s="17"/>
      <c r="C62" s="18"/>
      <c r="D62" s="18"/>
      <c r="E62" s="18"/>
      <c r="F62" s="18"/>
      <c r="G62" s="18"/>
      <c r="H62" s="18"/>
      <c r="I62" s="19"/>
      <c r="J62" s="18"/>
      <c r="K62" s="19"/>
      <c r="N62" s="17">
        <v>43778</v>
      </c>
      <c r="O62" s="18">
        <v>9</v>
      </c>
      <c r="P62" s="18">
        <v>11</v>
      </c>
      <c r="Q62" s="18">
        <v>2019</v>
      </c>
      <c r="R62" s="18" t="s">
        <v>3</v>
      </c>
      <c r="S62" s="18">
        <v>1050</v>
      </c>
      <c r="T62" s="18" t="s">
        <v>11</v>
      </c>
      <c r="U62" s="19">
        <v>15</v>
      </c>
      <c r="V62" s="18">
        <v>2</v>
      </c>
      <c r="W62" s="19">
        <v>30</v>
      </c>
    </row>
    <row r="63" spans="2:23" x14ac:dyDescent="0.25">
      <c r="B63" s="17"/>
      <c r="C63" s="18"/>
      <c r="D63" s="18"/>
      <c r="E63" s="18"/>
      <c r="F63" s="18"/>
      <c r="G63" s="18"/>
      <c r="H63" s="18"/>
      <c r="I63" s="19"/>
      <c r="J63" s="18"/>
      <c r="K63" s="19"/>
    </row>
    <row r="64" spans="2:23" x14ac:dyDescent="0.25">
      <c r="B64" s="17"/>
      <c r="C64" s="18"/>
      <c r="D64" s="18"/>
      <c r="E64" s="18"/>
      <c r="F64" s="18"/>
      <c r="G64" s="18"/>
      <c r="H64" s="18"/>
      <c r="I64" s="19"/>
      <c r="J64" s="18"/>
      <c r="K64" s="19"/>
    </row>
    <row r="65" spans="2:11" x14ac:dyDescent="0.25">
      <c r="B65" s="17"/>
      <c r="C65" s="18"/>
      <c r="D65" s="18"/>
      <c r="E65" s="18"/>
      <c r="F65" s="18"/>
      <c r="G65" s="18"/>
      <c r="H65" s="18"/>
      <c r="I65" s="19"/>
      <c r="J65" s="18"/>
      <c r="K65" s="19"/>
    </row>
    <row r="66" spans="2:11" x14ac:dyDescent="0.25">
      <c r="B66" s="17"/>
      <c r="C66" s="18"/>
      <c r="D66" s="18"/>
      <c r="E66" s="18"/>
      <c r="F66" s="18"/>
      <c r="G66" s="18"/>
      <c r="H66" s="18"/>
      <c r="I66" s="19"/>
      <c r="J66" s="18"/>
      <c r="K66" s="19"/>
    </row>
    <row r="67" spans="2:11" x14ac:dyDescent="0.25">
      <c r="B67" s="17"/>
      <c r="C67" s="18"/>
      <c r="D67" s="18"/>
      <c r="E67" s="18"/>
      <c r="F67" s="18"/>
      <c r="G67" s="18"/>
      <c r="H67" s="18"/>
      <c r="I67" s="19"/>
      <c r="J67" s="18"/>
      <c r="K67" s="19"/>
    </row>
    <row r="68" spans="2:11" x14ac:dyDescent="0.25">
      <c r="B68" s="17"/>
      <c r="C68" s="18"/>
      <c r="D68" s="18"/>
      <c r="E68" s="18"/>
      <c r="F68" s="18"/>
      <c r="G68" s="18"/>
      <c r="H68" s="18"/>
      <c r="I68" s="19"/>
      <c r="J68" s="18"/>
      <c r="K68" s="19"/>
    </row>
    <row r="69" spans="2:11" x14ac:dyDescent="0.25">
      <c r="B69" s="17"/>
      <c r="C69" s="18"/>
      <c r="D69" s="18"/>
      <c r="E69" s="18"/>
      <c r="F69" s="18"/>
      <c r="G69" s="18"/>
      <c r="H69" s="18"/>
      <c r="I69" s="19"/>
      <c r="J69" s="18"/>
      <c r="K69" s="19"/>
    </row>
    <row r="70" spans="2:11" x14ac:dyDescent="0.25">
      <c r="B70" s="17"/>
      <c r="C70" s="18"/>
      <c r="D70" s="18"/>
      <c r="E70" s="18"/>
      <c r="F70" s="18"/>
      <c r="G70" s="18"/>
      <c r="H70" s="18"/>
      <c r="I70" s="19"/>
      <c r="J70" s="18"/>
      <c r="K70" s="19"/>
    </row>
    <row r="71" spans="2:11" x14ac:dyDescent="0.25">
      <c r="B71" s="17"/>
      <c r="C71" s="18"/>
      <c r="D71" s="18"/>
      <c r="E71" s="18"/>
      <c r="F71" s="18"/>
      <c r="G71" s="18"/>
      <c r="H71" s="18"/>
      <c r="I71" s="19"/>
      <c r="J71" s="18"/>
      <c r="K71" s="19"/>
    </row>
    <row r="72" spans="2:11" x14ac:dyDescent="0.25">
      <c r="B72" s="17"/>
      <c r="C72" s="18"/>
      <c r="D72" s="18"/>
      <c r="E72" s="18"/>
      <c r="F72" s="18"/>
      <c r="G72" s="18"/>
      <c r="H72" s="18"/>
      <c r="I72" s="19"/>
      <c r="J72" s="18"/>
      <c r="K72" s="19"/>
    </row>
    <row r="73" spans="2:11" x14ac:dyDescent="0.25">
      <c r="B73" s="17"/>
      <c r="C73" s="18"/>
      <c r="D73" s="18"/>
      <c r="E73" s="18"/>
      <c r="F73" s="18"/>
      <c r="G73" s="18"/>
      <c r="H73" s="18"/>
      <c r="I73" s="19"/>
      <c r="J73" s="18"/>
      <c r="K73" s="19"/>
    </row>
    <row r="74" spans="2:11" x14ac:dyDescent="0.25">
      <c r="B74" s="17"/>
      <c r="C74" s="18"/>
      <c r="D74" s="18"/>
      <c r="E74" s="18"/>
      <c r="F74" s="18"/>
      <c r="G74" s="18"/>
      <c r="H74" s="18"/>
      <c r="I74" s="19"/>
      <c r="J74" s="18"/>
      <c r="K74" s="19"/>
    </row>
    <row r="75" spans="2:11" x14ac:dyDescent="0.25">
      <c r="B75" s="17"/>
      <c r="C75" s="18"/>
      <c r="D75" s="18"/>
      <c r="E75" s="18"/>
      <c r="F75" s="18"/>
      <c r="G75" s="18"/>
      <c r="H75" s="18"/>
      <c r="I75" s="19"/>
      <c r="J75" s="18"/>
      <c r="K75" s="19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31AFC-B3A1-4DEA-8910-206F00840B3A}">
  <sheetPr codeName="Planilha11"/>
  <dimension ref="B2:F8"/>
  <sheetViews>
    <sheetView zoomScale="130" zoomScaleNormal="130" workbookViewId="0">
      <selection activeCell="C8" sqref="C8"/>
    </sheetView>
  </sheetViews>
  <sheetFormatPr defaultRowHeight="15" x14ac:dyDescent="0.25"/>
  <cols>
    <col min="2" max="2" width="10.85546875" customWidth="1"/>
    <col min="3" max="3" width="11.7109375" customWidth="1"/>
    <col min="4" max="4" width="24" customWidth="1"/>
    <col min="5" max="5" width="14" customWidth="1"/>
    <col min="6" max="6" width="29.28515625" customWidth="1"/>
  </cols>
  <sheetData>
    <row r="2" spans="2:6" x14ac:dyDescent="0.25">
      <c r="B2" s="51" t="s">
        <v>17</v>
      </c>
      <c r="C2" s="51" t="s">
        <v>18</v>
      </c>
      <c r="D2" s="51" t="s">
        <v>22</v>
      </c>
      <c r="E2" s="51" t="s">
        <v>19</v>
      </c>
      <c r="F2" s="51" t="s">
        <v>5</v>
      </c>
    </row>
    <row r="3" spans="2:6" x14ac:dyDescent="0.25">
      <c r="B3" s="53">
        <v>11</v>
      </c>
      <c r="C3" s="53">
        <v>2019</v>
      </c>
      <c r="D3" s="53" t="s">
        <v>1</v>
      </c>
      <c r="E3" s="53">
        <v>1010</v>
      </c>
      <c r="F3" s="9" t="str">
        <f>VLOOKUP(E3,PRODUTOS_TABELA,2,0)</f>
        <v>COMPUTADOR INTEL i5 3,2G</v>
      </c>
    </row>
    <row r="6" spans="2:6" x14ac:dyDescent="0.25">
      <c r="C6" s="53" t="s">
        <v>49</v>
      </c>
      <c r="D6" s="9">
        <f>DSUM(lançamentos_vendas_tabela,9,B2:E3)</f>
        <v>10</v>
      </c>
    </row>
    <row r="8" spans="2:6" x14ac:dyDescent="0.25">
      <c r="C8" s="53" t="s">
        <v>50</v>
      </c>
      <c r="D8" s="52">
        <f>DSUM(lançamentos_vendas_tabela,10,B2:E3)</f>
        <v>14500</v>
      </c>
    </row>
  </sheetData>
  <dataValidations count="1">
    <dataValidation type="list" allowBlank="1" showInputMessage="1" showErrorMessage="1" sqref="D3" xr:uid="{A72B9D6A-AAC3-4A39-B7E5-955558BDDB33}">
      <formula1>VENDEDORES_NOME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03A3A-A674-4175-9967-9F66726588AC}">
  <sheetPr codeName="Planilha4"/>
  <dimension ref="A1:G17"/>
  <sheetViews>
    <sheetView showGridLines="0" showRowColHeaders="0" topLeftCell="B1" zoomScaleNormal="100" workbookViewId="0">
      <selection activeCell="C5" sqref="C5"/>
    </sheetView>
  </sheetViews>
  <sheetFormatPr defaultRowHeight="15" x14ac:dyDescent="0.25"/>
  <cols>
    <col min="1" max="1" width="20.7109375" style="8" customWidth="1"/>
    <col min="2" max="2" width="9.140625" style="1"/>
    <col min="3" max="3" width="18.85546875" style="1" customWidth="1"/>
    <col min="4" max="4" width="27.42578125" style="1" customWidth="1"/>
    <col min="5" max="5" width="13.7109375" style="1" customWidth="1"/>
    <col min="6" max="6" width="16.140625" style="1" customWidth="1"/>
    <col min="7" max="7" width="12.140625" style="1" bestFit="1" customWidth="1"/>
    <col min="8" max="16384" width="9.140625" style="1"/>
  </cols>
  <sheetData>
    <row r="1" spans="1:7" s="2" customFormat="1" ht="60" customHeight="1" x14ac:dyDescent="0.25"/>
    <row r="2" spans="1:7" x14ac:dyDescent="0.25">
      <c r="A2" s="2"/>
    </row>
    <row r="3" spans="1:7" x14ac:dyDescent="0.25">
      <c r="A3" s="2"/>
      <c r="C3" s="13" t="s">
        <v>1</v>
      </c>
    </row>
    <row r="4" spans="1:7" ht="4.5" customHeight="1" x14ac:dyDescent="0.25">
      <c r="A4" s="2"/>
    </row>
    <row r="5" spans="1:7" x14ac:dyDescent="0.25">
      <c r="A5" s="2"/>
      <c r="C5" s="13" t="s">
        <v>35</v>
      </c>
    </row>
    <row r="6" spans="1:7" x14ac:dyDescent="0.25">
      <c r="A6" s="2"/>
      <c r="C6" s="25">
        <v>2019</v>
      </c>
    </row>
    <row r="7" spans="1:7" x14ac:dyDescent="0.25">
      <c r="A7" s="2"/>
    </row>
    <row r="8" spans="1:7" x14ac:dyDescent="0.25">
      <c r="A8" s="2"/>
      <c r="C8" s="5" t="s">
        <v>4</v>
      </c>
      <c r="D8" s="5" t="s">
        <v>5</v>
      </c>
      <c r="E8" s="5" t="s">
        <v>20</v>
      </c>
      <c r="F8" s="23" t="s">
        <v>21</v>
      </c>
      <c r="G8" s="1" t="s">
        <v>51</v>
      </c>
    </row>
    <row r="9" spans="1:7" x14ac:dyDescent="0.25">
      <c r="A9" s="2"/>
      <c r="C9" s="25">
        <f>PRODUTOS!C6</f>
        <v>1010</v>
      </c>
      <c r="D9" s="4" t="str">
        <f>PRODUTOS!D6</f>
        <v>COMPUTADOR INTEL i5 3,2G</v>
      </c>
      <c r="E9" s="10">
        <f t="shared" ref="E9:E16" si="0">SUMIFS(LANÇAMENTOS_VENDAS_QUANTIDADE,LANÇAMENTOS_VENDAS_VENDEDOR,$C$3,LANÇAMENTOS_VENDAS_MÊS,VLOOKUP($C$5,MESES_TABELA,2,0),LANÇAMENTOS_VENDAS_ANO,$C$6,LANÇAMENTOS_VENDAS_PRODUTO,D9)</f>
        <v>32</v>
      </c>
      <c r="F9" s="6">
        <f t="shared" ref="F9:F16" si="1">SUMIFS(LANÇAMENTOS_VENDAS_TOTAL,LANÇAMENTOS_VENDAS_VENDEDOR,$C$3,LANÇAMENTOS_VENDAS_MÊS,VLOOKUP($C$5,MESES_TABELA,2,0),LANÇAMENTOS_VENDAS_ANO,$C$6,LANÇAMENTOS_VENDAS_PRODUTO,D9)</f>
        <v>46400</v>
      </c>
      <c r="G9" s="54">
        <f>AVERAGE($F$9:$F$16)</f>
        <v>20187.5</v>
      </c>
    </row>
    <row r="10" spans="1:7" x14ac:dyDescent="0.25">
      <c r="A10" s="2"/>
      <c r="C10" s="25">
        <f>PRODUTOS!C7</f>
        <v>1020</v>
      </c>
      <c r="D10" s="4" t="str">
        <f>PRODUTOS!D7</f>
        <v>PC GAMER i5 8GB</v>
      </c>
      <c r="E10" s="10">
        <f t="shared" si="0"/>
        <v>50</v>
      </c>
      <c r="F10" s="6">
        <f t="shared" si="1"/>
        <v>114950</v>
      </c>
      <c r="G10" s="54">
        <f t="shared" ref="G10:G16" si="2">AVERAGE($F$9:$F$16)</f>
        <v>20187.5</v>
      </c>
    </row>
    <row r="11" spans="1:7" x14ac:dyDescent="0.25">
      <c r="A11" s="2"/>
      <c r="C11" s="25">
        <f>PRODUTOS!C8</f>
        <v>1030</v>
      </c>
      <c r="D11" s="4" t="str">
        <f>PRODUTOS!D8</f>
        <v>NOTEBOOK i5 DELL</v>
      </c>
      <c r="E11" s="10">
        <f t="shared" si="0"/>
        <v>0</v>
      </c>
      <c r="F11" s="6">
        <f t="shared" si="1"/>
        <v>0</v>
      </c>
      <c r="G11" s="54">
        <f t="shared" si="2"/>
        <v>20187.5</v>
      </c>
    </row>
    <row r="12" spans="1:7" x14ac:dyDescent="0.25">
      <c r="C12" s="25">
        <f>PRODUTOS!C9</f>
        <v>1040</v>
      </c>
      <c r="D12" s="4" t="str">
        <f>PRODUTOS!D9</f>
        <v>TECLADO ABNT USB</v>
      </c>
      <c r="E12" s="10">
        <f t="shared" si="0"/>
        <v>0</v>
      </c>
      <c r="F12" s="6">
        <f t="shared" si="1"/>
        <v>0</v>
      </c>
      <c r="G12" s="54">
        <f t="shared" si="2"/>
        <v>20187.5</v>
      </c>
    </row>
    <row r="13" spans="1:7" x14ac:dyDescent="0.25">
      <c r="C13" s="25">
        <f>PRODUTOS!C10</f>
        <v>1050</v>
      </c>
      <c r="D13" s="4" t="str">
        <f>PRODUTOS!D10</f>
        <v>MOUSE GOLDENTEC</v>
      </c>
      <c r="E13" s="10">
        <f t="shared" si="0"/>
        <v>10</v>
      </c>
      <c r="F13" s="6">
        <f t="shared" si="1"/>
        <v>150</v>
      </c>
      <c r="G13" s="54">
        <f t="shared" si="2"/>
        <v>20187.5</v>
      </c>
    </row>
    <row r="14" spans="1:7" x14ac:dyDescent="0.25">
      <c r="C14" s="25">
        <f>PRODUTOS!C11</f>
        <v>1060</v>
      </c>
      <c r="D14" s="4" t="str">
        <f>PRODUTOS!D11</f>
        <v>CÂMERA USB 720P</v>
      </c>
      <c r="E14" s="10">
        <f t="shared" si="0"/>
        <v>0</v>
      </c>
      <c r="F14" s="6">
        <f t="shared" si="1"/>
        <v>0</v>
      </c>
      <c r="G14" s="54">
        <f t="shared" si="2"/>
        <v>20187.5</v>
      </c>
    </row>
    <row r="15" spans="1:7" x14ac:dyDescent="0.25">
      <c r="C15" s="25">
        <f>PRODUTOS!C12</f>
        <v>1070</v>
      </c>
      <c r="D15" s="4" t="str">
        <f>PRODUTOS!D12</f>
        <v>HD 500GB SAMSUNG</v>
      </c>
      <c r="E15" s="10">
        <f t="shared" si="0"/>
        <v>0</v>
      </c>
      <c r="F15" s="6">
        <f t="shared" si="1"/>
        <v>0</v>
      </c>
      <c r="G15" s="54">
        <f t="shared" si="2"/>
        <v>20187.5</v>
      </c>
    </row>
    <row r="16" spans="1:7" x14ac:dyDescent="0.25">
      <c r="C16" s="25">
        <f>PRODUTOS!C13</f>
        <v>1080</v>
      </c>
      <c r="D16" s="4" t="str">
        <f>PRODUTOS!D13</f>
        <v>PEN-DRIVE 16GB</v>
      </c>
      <c r="E16" s="10">
        <f t="shared" si="0"/>
        <v>0</v>
      </c>
      <c r="F16" s="6">
        <f t="shared" si="1"/>
        <v>0</v>
      </c>
      <c r="G16" s="54">
        <f t="shared" si="2"/>
        <v>20187.5</v>
      </c>
    </row>
    <row r="17" spans="4:4" x14ac:dyDescent="0.25">
      <c r="D17" s="1" t="str">
        <f>"VENDAS "&amp;C3&amp;" "&amp;C5&amp;" DE "&amp;C6</f>
        <v>VENDAS EUGÊNIO MÁRCIO DEZEMBRO DE 2019</v>
      </c>
    </row>
  </sheetData>
  <dataValidations count="2">
    <dataValidation type="list" allowBlank="1" showInputMessage="1" showErrorMessage="1" sqref="C3" xr:uid="{53768D51-7D4C-4F73-B784-691C8B7034C1}">
      <formula1>VENDEDORES_NOME</formula1>
    </dataValidation>
    <dataValidation type="list" allowBlank="1" showInputMessage="1" showErrorMessage="1" sqref="C5" xr:uid="{982EEF53-891B-4FD9-8963-035D19538757}">
      <formula1>MESES_MÊS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FBE3A-E0FD-473E-93D6-868DE9FADD48}">
  <sheetPr codeName="Planilha8"/>
  <dimension ref="A1:I21"/>
  <sheetViews>
    <sheetView showGridLines="0" topLeftCell="B1" zoomScale="130" zoomScaleNormal="130" workbookViewId="0">
      <selection activeCell="E19" sqref="E19"/>
    </sheetView>
  </sheetViews>
  <sheetFormatPr defaultRowHeight="15" x14ac:dyDescent="0.25"/>
  <cols>
    <col min="1" max="1" width="20.7109375" style="8" customWidth="1"/>
    <col min="2" max="2" width="9.140625" style="1"/>
    <col min="3" max="3" width="18.85546875" style="1" customWidth="1"/>
    <col min="4" max="4" width="14.5703125" style="1" customWidth="1"/>
    <col min="5" max="5" width="14.7109375" style="1" customWidth="1"/>
    <col min="6" max="6" width="12.42578125" style="1" customWidth="1"/>
    <col min="7" max="7" width="18" style="1" customWidth="1"/>
    <col min="8" max="8" width="15" style="1" customWidth="1"/>
    <col min="9" max="9" width="16.85546875" style="1" customWidth="1"/>
    <col min="10" max="16384" width="9.140625" style="1"/>
  </cols>
  <sheetData>
    <row r="1" spans="1:9" s="2" customFormat="1" ht="60" customHeight="1" x14ac:dyDescent="0.25"/>
    <row r="2" spans="1:9" x14ac:dyDescent="0.25">
      <c r="A2" s="2"/>
    </row>
    <row r="3" spans="1:9" x14ac:dyDescent="0.25">
      <c r="A3" s="2"/>
    </row>
    <row r="4" spans="1:9" ht="4.5" customHeight="1" x14ac:dyDescent="0.25">
      <c r="A4" s="2"/>
    </row>
    <row r="5" spans="1:9" x14ac:dyDescent="0.25">
      <c r="A5" s="2"/>
      <c r="C5" s="13" t="s">
        <v>32</v>
      </c>
      <c r="D5" s="1">
        <f>VLOOKUP(C5,MESES_TABELA,2,0)</f>
        <v>9</v>
      </c>
    </row>
    <row r="6" spans="1:9" x14ac:dyDescent="0.25">
      <c r="A6" s="2"/>
      <c r="C6" s="25">
        <v>2019</v>
      </c>
      <c r="G6" s="26">
        <f ca="1">TODAY()</f>
        <v>44086</v>
      </c>
    </row>
    <row r="7" spans="1:9" ht="15.75" thickBot="1" x14ac:dyDescent="0.3">
      <c r="A7" s="2"/>
    </row>
    <row r="8" spans="1:9" ht="18" customHeight="1" x14ac:dyDescent="0.25">
      <c r="A8" s="2"/>
      <c r="C8" s="28" t="s">
        <v>39</v>
      </c>
      <c r="D8" s="29" t="s">
        <v>41</v>
      </c>
      <c r="E8" s="30" t="s">
        <v>21</v>
      </c>
      <c r="G8" s="28" t="s">
        <v>39</v>
      </c>
      <c r="H8" s="29" t="s">
        <v>41</v>
      </c>
      <c r="I8" s="30" t="s">
        <v>21</v>
      </c>
    </row>
    <row r="9" spans="1:9" x14ac:dyDescent="0.25">
      <c r="A9" s="2"/>
      <c r="C9" s="31" t="str">
        <f>VENDEDORES!C6</f>
        <v>EUGÊNIO MÁRCIO</v>
      </c>
      <c r="D9" s="32">
        <f>SUMIFS(LANÇAMENTOS_VENDAS_QUANTIDADE,LANÇAMENTOS_VENDAS_VENDEDOR,C9,LANÇAMENTOS_VENDAS_MÊS,$D$5,LANÇAMENTOS_VENDAS_ANO,$C$6)</f>
        <v>0</v>
      </c>
      <c r="E9" s="33">
        <f>SUMIFS(LANÇAMENTOS_VENDAS_TOTAL,LANÇAMENTOS_VENDAS_VENDEDOR,C9,LANÇAMENTOS_VENDAS_MÊS,$D$5,LANÇAMENTOS_VENDAS_ANO,$C$6)</f>
        <v>0</v>
      </c>
      <c r="G9" s="31" t="str">
        <f>C9</f>
        <v>EUGÊNIO MÁRCIO</v>
      </c>
      <c r="H9" s="32">
        <f ca="1">SUMIFS(LANÇAMENTOS_VENDAS_QUANTIDADE,LANÇAMENTOS_VENDAS_VENDEDOR,G9,LANÇAMENTOS_VENDAS_DATA,$G$6)</f>
        <v>0</v>
      </c>
      <c r="I9" s="33">
        <f ca="1">SUMIFS(LANÇAMENTOS_VENDAS_TOTAL,LANÇAMENTOS_VENDAS_VENDEDOR,G9,LANÇAMENTOS_VENDAS_DATA,$G$6)</f>
        <v>0</v>
      </c>
    </row>
    <row r="10" spans="1:9" x14ac:dyDescent="0.25">
      <c r="A10" s="2"/>
      <c r="C10" s="31" t="str">
        <f>VENDEDORES!C7</f>
        <v>PAULA LINS</v>
      </c>
      <c r="D10" s="32">
        <f>SUMIFS(LANÇAMENTOS_VENDAS_QUANTIDADE,LANÇAMENTOS_VENDAS_VENDEDOR,C10,LANÇAMENTOS_VENDAS_MÊS,$D$5,LANÇAMENTOS_VENDAS_ANO,$C$6)</f>
        <v>0</v>
      </c>
      <c r="E10" s="33">
        <f>SUMIFS(LANÇAMENTOS_VENDAS_TOTAL,LANÇAMENTOS_VENDAS_VENDEDOR,C10,LANÇAMENTOS_VENDAS_MÊS,$D$5,LANÇAMENTOS_VENDAS_ANO,$C$6)</f>
        <v>0</v>
      </c>
      <c r="G10" s="31" t="str">
        <f t="shared" ref="G10:G11" si="0">C10</f>
        <v>PAULA LINS</v>
      </c>
      <c r="H10" s="32">
        <f ca="1">SUMIFS(LANÇAMENTOS_VENDAS_QUANTIDADE,LANÇAMENTOS_VENDAS_VENDEDOR,G10,LANÇAMENTOS_VENDAS_DATA,$G$6)</f>
        <v>0</v>
      </c>
      <c r="I10" s="33">
        <f ca="1">SUMIFS(LANÇAMENTOS_VENDAS_TOTAL,LANÇAMENTOS_VENDAS_VENDEDOR,G10,LANÇAMENTOS_VENDAS_DATA,$G$6)</f>
        <v>0</v>
      </c>
    </row>
    <row r="11" spans="1:9" ht="15.75" thickBot="1" x14ac:dyDescent="0.3">
      <c r="A11" s="2"/>
      <c r="C11" s="34" t="str">
        <f>VENDEDORES!C8</f>
        <v>JOÃO PAULO</v>
      </c>
      <c r="D11" s="35">
        <f>SUMIFS(LANÇAMENTOS_VENDAS_QUANTIDADE,LANÇAMENTOS_VENDAS_VENDEDOR,C11,LANÇAMENTOS_VENDAS_MÊS,$D$5,LANÇAMENTOS_VENDAS_ANO,$C$6)</f>
        <v>0</v>
      </c>
      <c r="E11" s="36">
        <f>SUMIFS(LANÇAMENTOS_VENDAS_TOTAL,LANÇAMENTOS_VENDAS_VENDEDOR,C11,LANÇAMENTOS_VENDAS_MÊS,$D$5,LANÇAMENTOS_VENDAS_ANO,$C$6)</f>
        <v>0</v>
      </c>
      <c r="G11" s="34" t="str">
        <f t="shared" si="0"/>
        <v>JOÃO PAULO</v>
      </c>
      <c r="H11" s="35">
        <f ca="1">SUMIFS(LANÇAMENTOS_VENDAS_QUANTIDADE,LANÇAMENTOS_VENDAS_VENDEDOR,G11,LANÇAMENTOS_VENDAS_DATA,$G$6)</f>
        <v>0</v>
      </c>
      <c r="I11" s="36">
        <f ca="1">SUMIFS(LANÇAMENTOS_VENDAS_TOTAL,LANÇAMENTOS_VENDAS_VENDEDOR,G11,LANÇAMENTOS_VENDAS_DATA,$G$6)</f>
        <v>0</v>
      </c>
    </row>
    <row r="13" spans="1:9" x14ac:dyDescent="0.25">
      <c r="D13" s="4" t="s">
        <v>42</v>
      </c>
      <c r="E13" s="4">
        <f>SUM(D9:D11)</f>
        <v>0</v>
      </c>
      <c r="H13" s="4" t="s">
        <v>42</v>
      </c>
      <c r="I13" s="4">
        <f ca="1">SUM(H9:H11)</f>
        <v>0</v>
      </c>
    </row>
    <row r="14" spans="1:9" ht="4.5" customHeight="1" x14ac:dyDescent="0.25"/>
    <row r="15" spans="1:9" x14ac:dyDescent="0.25">
      <c r="D15" s="4" t="s">
        <v>40</v>
      </c>
      <c r="E15" s="27">
        <f>SUM(E9:E11)</f>
        <v>0</v>
      </c>
      <c r="H15" s="4" t="s">
        <v>40</v>
      </c>
      <c r="I15" s="27">
        <f ca="1">SUM(I9:I11)</f>
        <v>0</v>
      </c>
    </row>
    <row r="17" spans="3:8" ht="15.75" thickBot="1" x14ac:dyDescent="0.3">
      <c r="C17" s="44" t="s">
        <v>43</v>
      </c>
      <c r="D17" s="45"/>
      <c r="E17" s="44" t="s">
        <v>44</v>
      </c>
      <c r="F17" s="44"/>
      <c r="G17" s="44"/>
      <c r="H17" s="44"/>
    </row>
    <row r="18" spans="3:8" x14ac:dyDescent="0.25">
      <c r="C18" s="28" t="s">
        <v>39</v>
      </c>
      <c r="D18" s="41" t="s">
        <v>31</v>
      </c>
      <c r="E18" s="37" t="s">
        <v>32</v>
      </c>
      <c r="F18" s="37" t="s">
        <v>33</v>
      </c>
      <c r="G18" s="37" t="s">
        <v>34</v>
      </c>
      <c r="H18" s="38" t="s">
        <v>35</v>
      </c>
    </row>
    <row r="19" spans="3:8" x14ac:dyDescent="0.25">
      <c r="C19" s="46" t="str">
        <f>C9</f>
        <v>EUGÊNIO MÁRCIO</v>
      </c>
      <c r="D19" s="42">
        <f>SUMIFS(LANÇAMENTOS_VENDAS_QUANTIDADE,LANÇAMENTOS_VENDAS_VENDEDOR,$C$19,LANÇAMENTOS_VENDAS_MÊS,VLOOKUP(D18,MESES_TABELA,2,0),LANÇAMENTOS_VENDAS_ANO,$C$6)</f>
        <v>0</v>
      </c>
      <c r="E19" s="42">
        <f>SUMIFS(LANÇAMENTOS_VENDAS_QUANTIDADE,LANÇAMENTOS_VENDAS_VENDEDOR,$C$19,LANÇAMENTOS_VENDAS_MÊS,VLOOKUP(E18,MESES_TABELA,2,0),LANÇAMENTOS_VENDAS_ANO,$C$6)</f>
        <v>0</v>
      </c>
      <c r="F19" s="42">
        <f>SUMIFS(LANÇAMENTOS_VENDAS_QUANTIDADE,LANÇAMENTOS_VENDAS_VENDEDOR,$C$19,LANÇAMENTOS_VENDAS_MÊS,VLOOKUP(F18,MESES_TABELA,2,0),LANÇAMENTOS_VENDAS_ANO,$C$6)</f>
        <v>0</v>
      </c>
      <c r="G19" s="42">
        <f>SUMIFS(LANÇAMENTOS_VENDAS_QUANTIDADE,LANÇAMENTOS_VENDAS_VENDEDOR,$C$19,LANÇAMENTOS_VENDAS_MÊS,VLOOKUP(G18,MESES_TABELA,2,0),LANÇAMENTOS_VENDAS_ANO,$C$6)</f>
        <v>70</v>
      </c>
      <c r="H19" s="39">
        <f>SUMIFS(LANÇAMENTOS_VENDAS_QUANTIDADE,LANÇAMENTOS_VENDAS_VENDEDOR,$C$19,LANÇAMENTOS_VENDAS_MÊS,VLOOKUP(H18,MESES_TABELA,2,0),LANÇAMENTOS_VENDAS_ANO,$C$6)</f>
        <v>92</v>
      </c>
    </row>
    <row r="20" spans="3:8" x14ac:dyDescent="0.25">
      <c r="C20" s="46" t="str">
        <f t="shared" ref="C20:C21" si="1">C10</f>
        <v>PAULA LINS</v>
      </c>
      <c r="D20" s="42">
        <f>SUMIFS(LANÇAMENTOS_VENDAS_QUANTIDADE,LANÇAMENTOS_VENDAS_VENDEDOR,$C$20,LANÇAMENTOS_VENDAS_MÊS,VLOOKUP(D18,MESES_TABELA,2,0),LANÇAMENTOS_VENDAS_ANO,$C$6)</f>
        <v>0</v>
      </c>
      <c r="E20" s="42">
        <f>SUMIFS(LANÇAMENTOS_VENDAS_QUANTIDADE,LANÇAMENTOS_VENDAS_VENDEDOR,$C$20,LANÇAMENTOS_VENDAS_MÊS,VLOOKUP(E18,MESES_TABELA,2,0),LANÇAMENTOS_VENDAS_ANO,$C$6)</f>
        <v>0</v>
      </c>
      <c r="F20" s="42">
        <f>SUMIFS(LANÇAMENTOS_VENDAS_QUANTIDADE,LANÇAMENTOS_VENDAS_VENDEDOR,$C$20,LANÇAMENTOS_VENDAS_MÊS,VLOOKUP(F18,MESES_TABELA,2,0),LANÇAMENTOS_VENDAS_ANO,$C$6)</f>
        <v>0</v>
      </c>
      <c r="G20" s="42">
        <f>SUMIFS(LANÇAMENTOS_VENDAS_QUANTIDADE,LANÇAMENTOS_VENDAS_VENDEDOR,$C$20,LANÇAMENTOS_VENDAS_MÊS,VLOOKUP(G18,MESES_TABELA,2,0),LANÇAMENTOS_VENDAS_ANO,$C$6)</f>
        <v>100</v>
      </c>
      <c r="H20" s="39">
        <f>SUMIFS(LANÇAMENTOS_VENDAS_QUANTIDADE,LANÇAMENTOS_VENDAS_VENDEDOR,$C$20,LANÇAMENTOS_VENDAS_MÊS,VLOOKUP(H18,MESES_TABELA,2,0),LANÇAMENTOS_VENDAS_ANO,$C$6)</f>
        <v>10</v>
      </c>
    </row>
    <row r="21" spans="3:8" ht="15.75" thickBot="1" x14ac:dyDescent="0.3">
      <c r="C21" s="47" t="str">
        <f t="shared" si="1"/>
        <v>JOÃO PAULO</v>
      </c>
      <c r="D21" s="43">
        <f>SUMIFS(LANÇAMENTOS_VENDAS_QUANTIDADE,LANÇAMENTOS_VENDAS_VENDEDOR,$C$21,LANÇAMENTOS_VENDAS_MÊS,VLOOKUP(D18,MESES_TABELA,2,0),LANÇAMENTOS_VENDAS_ANO,$C$6)</f>
        <v>0</v>
      </c>
      <c r="E21" s="43">
        <f>SUMIFS(LANÇAMENTOS_VENDAS_QUANTIDADE,LANÇAMENTOS_VENDAS_VENDEDOR,$C$21,LANÇAMENTOS_VENDAS_MÊS,VLOOKUP(E18,MESES_TABELA,2,0),LANÇAMENTOS_VENDAS_ANO,$C$6)</f>
        <v>0</v>
      </c>
      <c r="F21" s="43">
        <f>SUMIFS(LANÇAMENTOS_VENDAS_QUANTIDADE,LANÇAMENTOS_VENDAS_VENDEDOR,$C$21,LANÇAMENTOS_VENDAS_MÊS,VLOOKUP(F18,MESES_TABELA,2,0),LANÇAMENTOS_VENDAS_ANO,$C$6)</f>
        <v>0</v>
      </c>
      <c r="G21" s="43">
        <f>SUMIFS(LANÇAMENTOS_VENDAS_QUANTIDADE,LANÇAMENTOS_VENDAS_VENDEDOR,$C$21,LANÇAMENTOS_VENDAS_MÊS,VLOOKUP(G18,MESES_TABELA,2,0),LANÇAMENTOS_VENDAS_ANO,$C$6)</f>
        <v>0</v>
      </c>
      <c r="H21" s="40">
        <f>SUMIFS(LANÇAMENTOS_VENDAS_QUANTIDADE,LANÇAMENTOS_VENDAS_VENDEDOR,$C$21,LANÇAMENTOS_VENDAS_MÊS,VLOOKUP(H18,MESES_TABELA,2,0),LANÇAMENTOS_VENDAS_ANO,$C$6)</f>
        <v>72</v>
      </c>
    </row>
  </sheetData>
  <phoneticPr fontId="4" type="noConversion"/>
  <dataValidations count="1">
    <dataValidation type="list" allowBlank="1" showInputMessage="1" showErrorMessage="1" sqref="C5" xr:uid="{DEB5AAE4-AE6B-4A6B-B0A9-AB1926064266}">
      <formula1>MESES_MÊS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E4AB9-44B0-411E-811F-5928B989A7DE}">
  <sheetPr codeName="Planilha7"/>
  <dimension ref="A1:D11"/>
  <sheetViews>
    <sheetView showGridLines="0" topLeftCell="B1" zoomScaleNormal="100" workbookViewId="0">
      <selection activeCell="G8" sqref="C8:H16"/>
    </sheetView>
  </sheetViews>
  <sheetFormatPr defaultRowHeight="15" x14ac:dyDescent="0.25"/>
  <cols>
    <col min="1" max="1" width="20.7109375" style="8" customWidth="1"/>
    <col min="2" max="2" width="9.140625" style="1"/>
    <col min="3" max="3" width="18.85546875" style="1" customWidth="1"/>
    <col min="4" max="4" width="27.42578125" style="1" customWidth="1"/>
    <col min="5" max="5" width="13.7109375" style="1" customWidth="1"/>
    <col min="6" max="6" width="12.42578125" style="1" customWidth="1"/>
    <col min="7" max="16384" width="9.140625" style="1"/>
  </cols>
  <sheetData>
    <row r="1" spans="1:4" s="2" customFormat="1" ht="60" customHeight="1" x14ac:dyDescent="0.25"/>
    <row r="2" spans="1:4" x14ac:dyDescent="0.25">
      <c r="A2" s="2"/>
    </row>
    <row r="3" spans="1:4" x14ac:dyDescent="0.25">
      <c r="A3" s="2"/>
      <c r="C3" s="13" t="s">
        <v>3</v>
      </c>
    </row>
    <row r="4" spans="1:4" ht="4.5" customHeight="1" x14ac:dyDescent="0.25">
      <c r="A4" s="2"/>
    </row>
    <row r="5" spans="1:4" x14ac:dyDescent="0.25">
      <c r="A5" s="2"/>
      <c r="C5" s="13" t="s">
        <v>34</v>
      </c>
      <c r="D5" s="1">
        <f>VLOOKUP(C5,MESES_TABELA,2,0)</f>
        <v>11</v>
      </c>
    </row>
    <row r="6" spans="1:4" x14ac:dyDescent="0.25">
      <c r="A6" s="2"/>
      <c r="C6" s="25">
        <v>2019</v>
      </c>
    </row>
    <row r="7" spans="1:4" x14ac:dyDescent="0.25">
      <c r="A7" s="2"/>
    </row>
    <row r="8" spans="1:4" x14ac:dyDescent="0.25">
      <c r="A8" s="2"/>
    </row>
    <row r="9" spans="1:4" x14ac:dyDescent="0.25">
      <c r="A9" s="2"/>
    </row>
    <row r="10" spans="1:4" x14ac:dyDescent="0.25">
      <c r="A10" s="2"/>
    </row>
    <row r="11" spans="1:4" x14ac:dyDescent="0.25">
      <c r="A11" s="2"/>
    </row>
  </sheetData>
  <dataValidations count="2">
    <dataValidation type="list" allowBlank="1" showInputMessage="1" showErrorMessage="1" sqref="C3" xr:uid="{2F13D3AB-0D0C-46D2-8D25-D22050361F2B}">
      <formula1>VENDEDORES_NOME</formula1>
    </dataValidation>
    <dataValidation type="list" allowBlank="1" showInputMessage="1" showErrorMessage="1" sqref="C5" xr:uid="{4814FAC7-67B8-461E-92F2-5CC4E2C798CA}">
      <formula1>MESES_MÊS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BD90C-E834-47EE-97D2-6A6B513FC9D7}">
  <sheetPr codeName="Planilha6"/>
  <dimension ref="A1:D11"/>
  <sheetViews>
    <sheetView showGridLines="0" topLeftCell="B1" zoomScaleNormal="100" workbookViewId="0">
      <selection activeCell="D14" sqref="D14"/>
    </sheetView>
  </sheetViews>
  <sheetFormatPr defaultRowHeight="15" x14ac:dyDescent="0.25"/>
  <cols>
    <col min="1" max="1" width="20.7109375" style="8" customWidth="1"/>
    <col min="2" max="2" width="9.140625" style="1"/>
    <col min="3" max="3" width="18.85546875" style="1" customWidth="1"/>
    <col min="4" max="4" width="27.42578125" style="1" customWidth="1"/>
    <col min="5" max="5" width="13.7109375" style="1" customWidth="1"/>
    <col min="6" max="6" width="12.42578125" style="1" customWidth="1"/>
    <col min="7" max="16384" width="9.140625" style="1"/>
  </cols>
  <sheetData>
    <row r="1" spans="1:4" s="2" customFormat="1" ht="60" customHeight="1" x14ac:dyDescent="0.25"/>
    <row r="2" spans="1:4" x14ac:dyDescent="0.25">
      <c r="A2" s="2"/>
    </row>
    <row r="3" spans="1:4" x14ac:dyDescent="0.25">
      <c r="A3" s="2"/>
      <c r="C3" s="13" t="s">
        <v>3</v>
      </c>
    </row>
    <row r="4" spans="1:4" ht="4.5" customHeight="1" x14ac:dyDescent="0.25">
      <c r="A4" s="2"/>
    </row>
    <row r="5" spans="1:4" x14ac:dyDescent="0.25">
      <c r="A5" s="2"/>
      <c r="C5" s="13" t="s">
        <v>34</v>
      </c>
      <c r="D5" s="1">
        <f>VLOOKUP(C5,MESES_TABELA,2,0)</f>
        <v>11</v>
      </c>
    </row>
    <row r="6" spans="1:4" x14ac:dyDescent="0.25">
      <c r="A6" s="2"/>
      <c r="C6" s="25">
        <v>2019</v>
      </c>
    </row>
    <row r="7" spans="1:4" x14ac:dyDescent="0.25">
      <c r="A7" s="2"/>
    </row>
    <row r="8" spans="1:4" x14ac:dyDescent="0.25">
      <c r="A8" s="2"/>
    </row>
    <row r="9" spans="1:4" x14ac:dyDescent="0.25">
      <c r="A9" s="2"/>
    </row>
    <row r="10" spans="1:4" x14ac:dyDescent="0.25">
      <c r="A10" s="2"/>
    </row>
    <row r="11" spans="1:4" x14ac:dyDescent="0.25">
      <c r="A11" s="2"/>
    </row>
  </sheetData>
  <dataValidations count="2">
    <dataValidation type="list" allowBlank="1" showInputMessage="1" showErrorMessage="1" sqref="C5" xr:uid="{52E9BF90-FAC7-4564-912D-CDDCA1ACE1C6}">
      <formula1>MESES_MÊS</formula1>
    </dataValidation>
    <dataValidation type="list" allowBlank="1" showInputMessage="1" showErrorMessage="1" sqref="C3" xr:uid="{26BF7794-9E44-48BF-AA95-3704AE5CB1CF}">
      <formula1>VENDEDORES_NOME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21F76-906B-40A1-9660-88539A7EA3A7}">
  <sheetPr codeName="Planilha12"/>
  <dimension ref="B3:E15"/>
  <sheetViews>
    <sheetView zoomScale="175" zoomScaleNormal="175" workbookViewId="0">
      <selection activeCell="B4" sqref="B4:B15"/>
    </sheetView>
  </sheetViews>
  <sheetFormatPr defaultRowHeight="15" x14ac:dyDescent="0.25"/>
  <cols>
    <col min="2" max="2" width="11.85546875" customWidth="1"/>
  </cols>
  <sheetData>
    <row r="3" spans="2:5" x14ac:dyDescent="0.25">
      <c r="B3" s="24" t="s">
        <v>23</v>
      </c>
      <c r="C3" s="24" t="s">
        <v>36</v>
      </c>
    </row>
    <row r="4" spans="2:5" x14ac:dyDescent="0.25">
      <c r="B4" s="9" t="s">
        <v>24</v>
      </c>
      <c r="C4" s="9">
        <v>1</v>
      </c>
      <c r="E4" t="s">
        <v>37</v>
      </c>
    </row>
    <row r="5" spans="2:5" x14ac:dyDescent="0.25">
      <c r="B5" s="9" t="s">
        <v>25</v>
      </c>
      <c r="C5" s="9">
        <v>2</v>
      </c>
      <c r="E5" t="s">
        <v>38</v>
      </c>
    </row>
    <row r="6" spans="2:5" x14ac:dyDescent="0.25">
      <c r="B6" s="9" t="s">
        <v>26</v>
      </c>
      <c r="C6" s="9">
        <v>3</v>
      </c>
    </row>
    <row r="7" spans="2:5" x14ac:dyDescent="0.25">
      <c r="B7" s="9" t="s">
        <v>27</v>
      </c>
      <c r="C7" s="9">
        <v>4</v>
      </c>
    </row>
    <row r="8" spans="2:5" x14ac:dyDescent="0.25">
      <c r="B8" s="9" t="s">
        <v>28</v>
      </c>
      <c r="C8" s="9">
        <v>5</v>
      </c>
    </row>
    <row r="9" spans="2:5" x14ac:dyDescent="0.25">
      <c r="B9" s="9" t="s">
        <v>29</v>
      </c>
      <c r="C9" s="9">
        <v>6</v>
      </c>
    </row>
    <row r="10" spans="2:5" x14ac:dyDescent="0.25">
      <c r="B10" s="9" t="s">
        <v>30</v>
      </c>
      <c r="C10" s="9">
        <v>7</v>
      </c>
    </row>
    <row r="11" spans="2:5" x14ac:dyDescent="0.25">
      <c r="B11" s="9" t="s">
        <v>31</v>
      </c>
      <c r="C11" s="9">
        <v>8</v>
      </c>
    </row>
    <row r="12" spans="2:5" x14ac:dyDescent="0.25">
      <c r="B12" s="9" t="s">
        <v>32</v>
      </c>
      <c r="C12" s="9">
        <v>9</v>
      </c>
    </row>
    <row r="13" spans="2:5" x14ac:dyDescent="0.25">
      <c r="B13" s="9" t="s">
        <v>33</v>
      </c>
      <c r="C13" s="9">
        <v>10</v>
      </c>
    </row>
    <row r="14" spans="2:5" x14ac:dyDescent="0.25">
      <c r="B14" s="9" t="s">
        <v>34</v>
      </c>
      <c r="C14" s="9">
        <v>11</v>
      </c>
    </row>
    <row r="15" spans="2:5" x14ac:dyDescent="0.25">
      <c r="B15" s="9" t="s">
        <v>35</v>
      </c>
      <c r="C15" s="9">
        <v>12</v>
      </c>
    </row>
  </sheetData>
  <phoneticPr fontId="4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11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14</vt:i4>
      </vt:variant>
    </vt:vector>
  </HeadingPairs>
  <TitlesOfParts>
    <vt:vector size="26" baseType="lpstr">
      <vt:lpstr>FORMVENDAS</vt:lpstr>
      <vt:lpstr>VENDEDORES</vt:lpstr>
      <vt:lpstr>PRODUTOS</vt:lpstr>
      <vt:lpstr>Tabela Dinâmica</vt:lpstr>
      <vt:lpstr>LANÇAMENTOS_VENDAS</vt:lpstr>
      <vt:lpstr>bdsoma</vt:lpstr>
      <vt:lpstr>RELATÓRIOS</vt:lpstr>
      <vt:lpstr>RELATÓRIOS-VENDEDOR</vt:lpstr>
      <vt:lpstr>RELATÓRIOS-MÊS</vt:lpstr>
      <vt:lpstr>RELATÓRIOS-HOJE</vt:lpstr>
      <vt:lpstr>Planilha6</vt:lpstr>
      <vt:lpstr>Gráfico1</vt:lpstr>
      <vt:lpstr>LANÇAMENTOS_VENDAS_ANO</vt:lpstr>
      <vt:lpstr>LANÇAMENTOS_VENDAS_DATA</vt:lpstr>
      <vt:lpstr>LANÇAMENTOS_VENDAS_DIAS</vt:lpstr>
      <vt:lpstr>LANÇAMENTOS_VENDAS_MÊS</vt:lpstr>
      <vt:lpstr>LANÇAMENTOS_VENDAS_PRODUTO</vt:lpstr>
      <vt:lpstr>LANÇAMENTOS_VENDAS_QUANTIDADE</vt:lpstr>
      <vt:lpstr>lançamentos_vendas_tabela</vt:lpstr>
      <vt:lpstr>LANÇAMENTOS_VENDAS_TOTAL</vt:lpstr>
      <vt:lpstr>LANÇAMENTOS_VENDAS_VENDEDOR</vt:lpstr>
      <vt:lpstr>MESES_MÊS</vt:lpstr>
      <vt:lpstr>MESES_TABELA</vt:lpstr>
      <vt:lpstr>PRODUTOS_CÓDIGO</vt:lpstr>
      <vt:lpstr>PRODUTOS_TABELA</vt:lpstr>
      <vt:lpstr>VENDEDORES_NOME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 Eugênio</dc:creator>
  <cp:lastModifiedBy>Professor Eugênio</cp:lastModifiedBy>
  <dcterms:created xsi:type="dcterms:W3CDTF">2019-11-09T17:15:48Z</dcterms:created>
  <dcterms:modified xsi:type="dcterms:W3CDTF">2020-09-12T15:45:00Z</dcterms:modified>
</cp:coreProperties>
</file>